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Landed Cost" sheetId="3" state="visible" r:id="rId5"/>
    <sheet name="Pilot P&amp;L" sheetId="4" state="visible" r:id="rId6"/>
    <sheet name="Taxi Driver-to-Owner" sheetId="5" state="visible" r:id="rId7"/>
    <sheet name="Workshop &amp; Parts" sheetId="6" state="visible" r:id="rId8"/>
    <sheet name="Scenari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<sst xmlns="http://schemas.openxmlformats.org/spreadsheetml/2006/main" count="442" uniqueCount="335">
  <si>
    <t xml:space="preserve">West Africa Mobility Corridor — Economics Model v1.0</t>
  </si>
  <si>
    <t xml:space="preserve">Mauritania landed cost · pilot P&amp;L · driver-to-owner taxi · workshop and parts</t>
  </si>
  <si>
    <t xml:space="preserve">Prepared for</t>
  </si>
  <si>
    <t xml:space="preserve">Major Dream Williams</t>
  </si>
  <si>
    <t xml:space="preserve">Date</t>
  </si>
  <si>
    <t xml:space="preserve">6 September 2026</t>
  </si>
  <si>
    <t xml:space="preserve">Phase</t>
  </si>
  <si>
    <t xml:space="preserve">Phase 0 — Supplier Discovery + Mauritania Evidence Sprint</t>
  </si>
  <si>
    <t xml:space="preserve">Status</t>
  </si>
  <si>
    <t xml:space="preserve">PLANNING MODEL. Not a price list, quotation, forecast, or investment memorandum.</t>
  </si>
  <si>
    <t xml:space="preserve">HOW TO USE THIS FILE</t>
  </si>
  <si>
    <t xml:space="preserve">1</t>
  </si>
  <si>
    <t xml:space="preserve">Edit ONLY the cells on the Assumptions tab. Every other tab is formulas.</t>
  </si>
  <si>
    <t xml:space="preserve">2</t>
  </si>
  <si>
    <t xml:space="preserve">BLUE text = an input you can change. BLACK text = a calculated cell — do not overwrite.</t>
  </si>
  <si>
    <t xml:space="preserve">3</t>
  </si>
  <si>
    <t xml:space="preserve">YELLOW fill = an unverified assumption that must be replaced with a sourced figure.</t>
  </si>
  <si>
    <t xml:space="preserve">4</t>
  </si>
  <si>
    <t xml:space="preserve">Each assumption carries an evidence label and a source in the columns beside it.</t>
  </si>
  <si>
    <t xml:space="preserve">EVIDENCE LABELS</t>
  </si>
  <si>
    <t xml:space="preserve">VERIFIED</t>
  </si>
  <si>
    <t xml:space="preserve">Supported by a named, reviewable source, cited in column E.</t>
  </si>
  <si>
    <t xml:space="preserve">CONFLICT</t>
  </si>
  <si>
    <t xml:space="preserve">Two credible sources disagree. Resolve before any external use.</t>
  </si>
  <si>
    <t xml:space="preserve">ASSUMPTION</t>
  </si>
  <si>
    <t xml:space="preserve">Planning placeholder. NOT evidence. Must be replaced before pricing.</t>
  </si>
  <si>
    <t xml:space="preserve">OPEN</t>
  </si>
  <si>
    <t xml:space="preserve">Unresolved, with a named owner in the dossier.</t>
  </si>
  <si>
    <t xml:space="preserve">HARD WARNING</t>
  </si>
  <si>
    <t xml:space="preserve">Roughly two thirds of the inputs in this model are ASSUMPTION or CONFLICT.</t>
  </si>
  <si>
    <t xml:space="preserve">No output of this model may be quoted to a buyer, published, used to take a deposit,</t>
  </si>
  <si>
    <t xml:space="preserve">or shown to an investor until the customs-broker opinion (O-01 to O-04 in the dossier)</t>
  </si>
  <si>
    <t xml:space="preserve">has replaced the tax and road-ready inputs with written, sourced figures.</t>
  </si>
  <si>
    <t xml:space="preserve">TABS</t>
  </si>
  <si>
    <t xml:space="preserve">Assumptions</t>
  </si>
  <si>
    <t xml:space="preserve">Every input, labelled and sourced. The only tab you edit.</t>
  </si>
  <si>
    <t xml:space="preserve">Landed Cost</t>
  </si>
  <si>
    <t xml:space="preserve">CIF to road-ready cost to indicative retail, by vehicle archetype.</t>
  </si>
  <si>
    <t xml:space="preserve">Pilot P&amp;L</t>
  </si>
  <si>
    <t xml:space="preserve">Pilot economics at 10 and 25 units, including the 70% pre-sold gate.</t>
  </si>
  <si>
    <t xml:space="preserve">Taxi Driver-to-Owner</t>
  </si>
  <si>
    <t xml:space="preserve">Driver cash flow and the ownership ladder, benchmarked against Moove.</t>
  </si>
  <si>
    <t xml:space="preserve">Workshop &amp; Parts</t>
  </si>
  <si>
    <t xml:space="preserve">Recurring service and parts economics — the durable revenue layer.</t>
  </si>
  <si>
    <t xml:space="preserve">Scenario</t>
  </si>
  <si>
    <t xml:space="preserve">Downside / base / upside on the variables that actually move the answer.</t>
  </si>
  <si>
    <t xml:space="preserve">ASSUMPTIONS — the only tab you edit</t>
  </si>
  <si>
    <t xml:space="preserve">Blue = input. Yellow fill = unverified. Column D = evidence label. Column E = source or owner.</t>
  </si>
  <si>
    <t xml:space="preserve">Input</t>
  </si>
  <si>
    <t xml:space="preserve">Value</t>
  </si>
  <si>
    <t xml:space="preserve">Unit</t>
  </si>
  <si>
    <t xml:space="preserve">Label</t>
  </si>
  <si>
    <t xml:space="preserve">Source / validation owner</t>
  </si>
  <si>
    <t xml:space="preserve">MAURITANIA TAX AND DUTY STACK</t>
  </si>
  <si>
    <t xml:space="preserve">Customs duty — top MFN band</t>
  </si>
  <si>
    <t xml:space="preserve">% of CIF</t>
  </si>
  <si>
    <t xml:space="preserve">WTO TPR WT/TPR/S/371 (2018): bands 0/5/13/20; 20% on ~39% of lines, mainly final consumer goods</t>
  </si>
  <si>
    <t xml:space="preserve">Statistical fee</t>
  </si>
  <si>
    <t xml:space="preserve">Mauritania Trade Portal says 1%; Lloyds Bank Trade says 3%. RESOLVE — owner: Diallo + customs broker</t>
  </si>
  <si>
    <t xml:space="preserve">Culture/Sport tax (PCS)</t>
  </si>
  <si>
    <t xml:space="preserve">Mauritania Trade Portal — HS chapters 21-98, on CIF value</t>
  </si>
  <si>
    <t xml:space="preserve">Minimum flat-rate tax (IMF)</t>
  </si>
  <si>
    <t xml:space="preserve">Mauritania Trade Portal: 2.5% of CIF on imports; WTO TPR describes IMF at 2% in an export context. RESOLVE</t>
  </si>
  <si>
    <t xml:space="preserve">VAT</t>
  </si>
  <si>
    <t xml:space="preserve">% of (CIF+duty)</t>
  </si>
  <si>
    <t xml:space="preserve">Mauritania Trade Portal; WTO TPR — standard rate 16%</t>
  </si>
  <si>
    <t xml:space="preserve">FREIGHT AND ROAD-READY COSTS</t>
  </si>
  <si>
    <t xml:space="preserve">Freight and marine insurance</t>
  </si>
  <si>
    <t xml:space="preserve">% of FOB</t>
  </si>
  <si>
    <t xml:space="preserve">Planning placeholder. China-Nouakchott RoRo 34-46 days (Japanese Car Trade). OPEN O-04</t>
  </si>
  <si>
    <t xml:space="preserve">Port handling and THC, Nouakchott</t>
  </si>
  <si>
    <t xml:space="preserve">USD/unit</t>
  </si>
  <si>
    <t xml:space="preserve">Planning placeholder. OPEN O-04 — owner: Diallo</t>
  </si>
  <si>
    <t xml:space="preserve">Customs broker fee</t>
  </si>
  <si>
    <t xml:space="preserve">Declaration processing fee</t>
  </si>
  <si>
    <t xml:space="preserve">USD/decl.</t>
  </si>
  <si>
    <t xml:space="preserve">Mauritania Trade Portal — 3,000 old ouguiya, approx USD 8.60</t>
  </si>
  <si>
    <t xml:space="preserve">Inland transport to showroom</t>
  </si>
  <si>
    <t xml:space="preserve">Planning placeholder. OPEN O-04</t>
  </si>
  <si>
    <t xml:space="preserve">First registration and plates</t>
  </si>
  <si>
    <t xml:space="preserve">Technical inspection</t>
  </si>
  <si>
    <t xml:space="preserve">Motor insurance, year 1</t>
  </si>
  <si>
    <t xml:space="preserve">Planning placeholder. Buyer may carry this. OPEN O-04</t>
  </si>
  <si>
    <t xml:space="preserve">PDI and first service</t>
  </si>
  <si>
    <t xml:space="preserve">Planning placeholder — owner: program team</t>
  </si>
  <si>
    <t xml:space="preserve">COMMERCIAL</t>
  </si>
  <si>
    <t xml:space="preserve">Target gross margin on road-ready cost</t>
  </si>
  <si>
    <t xml:space="preserve">%</t>
  </si>
  <si>
    <t xml:space="preserve">Planning placeholder. Must be tested against the Nouakchott lot census (OPEN O-06)</t>
  </si>
  <si>
    <t xml:space="preserve">FX rate</t>
  </si>
  <si>
    <t xml:space="preserve">MRU per USD</t>
  </si>
  <si>
    <t xml:space="preserve">Placeholder. Ouguiya depreciated only 0.13% y/y vs USD in 2025 (World Bank MPO)</t>
  </si>
  <si>
    <t xml:space="preserve">PILOT PARAMETERS</t>
  </si>
  <si>
    <t xml:space="preserve">Pilot size — option A</t>
  </si>
  <si>
    <t xml:space="preserve">units</t>
  </si>
  <si>
    <t xml:space="preserve">PROPOSAL</t>
  </si>
  <si>
    <t xml:space="preserve">Sourcebook / strategy transcript: 10-25 unit pilot</t>
  </si>
  <si>
    <t xml:space="preserve">Pilot size — option B</t>
  </si>
  <si>
    <t xml:space="preserve">Sourcebook / strategy transcript</t>
  </si>
  <si>
    <t xml:space="preserve">Pre-sold gate — minimum</t>
  </si>
  <si>
    <t xml:space="preserve">% of pilot</t>
  </si>
  <si>
    <t xml:space="preserve">HARD GATE. Do not proceed below this. Strategy transcript</t>
  </si>
  <si>
    <t xml:space="preserve">Demonstration units (not for sale)</t>
  </si>
  <si>
    <t xml:space="preserve">Required to overcome brand unfamiliarity (Sagaci: ~30% unfamiliar with Chinese brands)</t>
  </si>
  <si>
    <t xml:space="preserve">Cost of capital</t>
  </si>
  <si>
    <t xml:space="preserve">% per year</t>
  </si>
  <si>
    <t xml:space="preserve">Planning placeholder — owner: Major</t>
  </si>
  <si>
    <t xml:space="preserve">Days capital deployed per unit</t>
  </si>
  <si>
    <t xml:space="preserve">days</t>
  </si>
  <si>
    <t xml:space="preserve">Order to cash. Includes 34-46 day RoRo transit (Japanese Car Trade)</t>
  </si>
  <si>
    <t xml:space="preserve">PILOT FIXED COSTS — one-off, not per unit</t>
  </si>
  <si>
    <t xml:space="preserve">Workshop setup and tooling</t>
  </si>
  <si>
    <t xml:space="preserve">USD</t>
  </si>
  <si>
    <t xml:space="preserve">Planning placeholder. OPEN — no quote obtained</t>
  </si>
  <si>
    <t xml:space="preserve">Diagnostic equipment and software licences</t>
  </si>
  <si>
    <t xml:space="preserve">Placeholder. Must come from supplier response (EOI item: diagnostics)</t>
  </si>
  <si>
    <t xml:space="preserve">Initial parts float</t>
  </si>
  <si>
    <t xml:space="preserve">Placeholder. Must come from supplier response (EOI item: spare-parts package)</t>
  </si>
  <si>
    <t xml:space="preserve">Technician training — cohort of 20</t>
  </si>
  <si>
    <t xml:space="preserve">Placeholder. Train-the-trainer pathway, sourcebook</t>
  </si>
  <si>
    <t xml:space="preserve">Staff, 6 months</t>
  </si>
  <si>
    <t xml:space="preserve">Placeholder — owner: Diallo</t>
  </si>
  <si>
    <t xml:space="preserve">Premises, 6 months</t>
  </si>
  <si>
    <t xml:space="preserve">Marketing, launch and portal</t>
  </si>
  <si>
    <t xml:space="preserve">Placeholder — owner: program team</t>
  </si>
  <si>
    <t xml:space="preserve">Legal, entity formation and compliance opinions</t>
  </si>
  <si>
    <t xml:space="preserve">Covers memo actions S-01 to S-07. Registration itself is 1-2 days via APIM (US ITA)</t>
  </si>
  <si>
    <t xml:space="preserve">TAXI DRIVER-TO-OWNER — all figures unverified for Nouakchott and Dakar</t>
  </si>
  <si>
    <t xml:space="preserve">Taxi vehicle road-ready cost</t>
  </si>
  <si>
    <t xml:space="preserve">Links to Landed Cost tab. Placeholder</t>
  </si>
  <si>
    <t xml:space="preserve">Driver gross daily revenue</t>
  </si>
  <si>
    <t xml:space="preserve">USD/day</t>
  </si>
  <si>
    <t xml:space="preserve">UNVERIFIED. OPEN O-13 — 10 driver interviews per city</t>
  </si>
  <si>
    <t xml:space="preserve">Working days per month</t>
  </si>
  <si>
    <t xml:space="preserve">OPEN O-13</t>
  </si>
  <si>
    <t xml:space="preserve">Fuel cost</t>
  </si>
  <si>
    <t xml:space="preserve">Maintenance and tyres</t>
  </si>
  <si>
    <t xml:space="preserve">USD/month</t>
  </si>
  <si>
    <t xml:space="preserve">Carried by the fleet SPV, NOT the driver — see architecture memo</t>
  </si>
  <si>
    <t xml:space="preserve">Insurance and licence</t>
  </si>
  <si>
    <t xml:space="preserve">Ownership ladder term</t>
  </si>
  <si>
    <t xml:space="preserve">months</t>
  </si>
  <si>
    <t xml:space="preserve">Moove benchmark: 18-48 months (Techpoint Africa)</t>
  </si>
  <si>
    <t xml:space="preserve">Financing markup over vehicle cost</t>
  </si>
  <si>
    <t xml:space="preserve">% total</t>
  </si>
  <si>
    <t xml:space="preserve">Murabaha-style disclosed markup, sourced from a LICENSED institution</t>
  </si>
  <si>
    <t xml:space="preserve">Cure period before repossession</t>
  </si>
  <si>
    <t xml:space="preserve">Anti-extraction safeguard. Moove repossessed on KPI misses (Techpoint Africa)</t>
  </si>
  <si>
    <t xml:space="preserve">Max driver payment as % of net earnings</t>
  </si>
  <si>
    <t xml:space="preserve">HARD CEILING. Sized to driver capacity, not to lender recovery schedule</t>
  </si>
  <si>
    <t xml:space="preserve">WORKSHOP AND PARTS</t>
  </si>
  <si>
    <t xml:space="preserve">Service visits per vehicle per year</t>
  </si>
  <si>
    <t xml:space="preserve">visits</t>
  </si>
  <si>
    <t xml:space="preserve">Labour revenue per service visit</t>
  </si>
  <si>
    <t xml:space="preserve">OPEN O-10 — build the workshop registry first</t>
  </si>
  <si>
    <t xml:space="preserve">Parts revenue per service visit</t>
  </si>
  <si>
    <t xml:space="preserve">OPEN O-10</t>
  </si>
  <si>
    <t xml:space="preserve">Gross margin on parts</t>
  </si>
  <si>
    <t xml:space="preserve">Senegal parts market is fragmented: &gt;2,000 importers, no firm above 10% (Firmus Advisory)</t>
  </si>
  <si>
    <t xml:space="preserve">Gross margin on labour</t>
  </si>
  <si>
    <t xml:space="preserve">Placeholder</t>
  </si>
  <si>
    <t xml:space="preserve">Serviceable vehicles by end of year 2</t>
  </si>
  <si>
    <t xml:space="preserve">vehicles</t>
  </si>
  <si>
    <t xml:space="preserve">Includes non-corridor vehicles. Placeholder</t>
  </si>
  <si>
    <t xml:space="preserve">LANDED COST — FOB to road-ready to indicative retail</t>
  </si>
  <si>
    <t xml:space="preserve">ALL FOB values are ASSUMPTION placeholders. Replace with actual supplier quotations before any use.</t>
  </si>
  <si>
    <t xml:space="preserve">Line item</t>
  </si>
  <si>
    <t xml:space="preserve">Rugged 4x4 SUV (new)</t>
  </si>
  <si>
    <t xml:space="preserve">Family SUV (new)</t>
  </si>
  <si>
    <t xml:space="preserve">Pickup / LCV (new)</t>
  </si>
  <si>
    <t xml:space="preserve">Hybrid SUV (new)</t>
  </si>
  <si>
    <t xml:space="preserve">EV demo (new)</t>
  </si>
  <si>
    <t xml:space="preserve">Certified used SUV</t>
  </si>
  <si>
    <t xml:space="preserve">Note</t>
  </si>
  <si>
    <t xml:space="preserve">FOB export price (supplier quotation)</t>
  </si>
  <si>
    <t xml:space="preserve">ASSUMPTION — placeholder. EOI/RFP asks each supplier for export price, currency, Incoterm and delivery point.</t>
  </si>
  <si>
    <t xml:space="preserve">CIF value</t>
  </si>
  <si>
    <t xml:space="preserve">Declared tax base</t>
  </si>
  <si>
    <t xml:space="preserve">USED VEHICLES: Mauritania applies a MINIMUM IMPORTATION VALUE, not invoice value (Lloyds Bank Trade; US ITA reports Argus-based minimums). For the used column this cell must be REPLACED with the administrative minimum value once obtained — OPEN O-01.</t>
  </si>
  <si>
    <t xml:space="preserve">Customs duty</t>
  </si>
  <si>
    <t xml:space="preserve">CONFLICT 1% vs 3%</t>
  </si>
  <si>
    <t xml:space="preserve">CONFLICT 2.5% import vs 2% export</t>
  </si>
  <si>
    <t xml:space="preserve">VAT charged on CIF + duty</t>
  </si>
  <si>
    <t xml:space="preserve">Total duties and taxes</t>
  </si>
  <si>
    <t xml:space="preserve">Effective tax uplift on CIF</t>
  </si>
  <si>
    <t xml:space="preserve">Port handling and THC</t>
  </si>
  <si>
    <t xml:space="preserve">Customs broker</t>
  </si>
  <si>
    <t xml:space="preserve">Declaration fee</t>
  </si>
  <si>
    <t xml:space="preserve">Inland transport</t>
  </si>
  <si>
    <t xml:space="preserve">Registration and plates</t>
  </si>
  <si>
    <t xml:space="preserve">Total road-ready costs</t>
  </si>
  <si>
    <t xml:space="preserve">TOTAL ROAD-READY COST</t>
  </si>
  <si>
    <t xml:space="preserve">Total uplift over FOB</t>
  </si>
  <si>
    <t xml:space="preserve">Financing cost while in transit</t>
  </si>
  <si>
    <t xml:space="preserve">Capital tied up from order to cash. This is the line the Moove precedent shows people underestimate.</t>
  </si>
  <si>
    <t xml:space="preserve">Fully loaded unit cost</t>
  </si>
  <si>
    <t xml:space="preserve">Gross margin at target</t>
  </si>
  <si>
    <t xml:space="preserve">INDICATIVE RETAIL (USD)</t>
  </si>
  <si>
    <t xml:space="preserve">INDICATIVE RETAIL (MRU)</t>
  </si>
  <si>
    <t xml:space="preserve">Motor insurance year 1 (buyer-borne)</t>
  </si>
  <si>
    <t xml:space="preserve">Shown separately — normally borne by the buyer, not the importer.</t>
  </si>
  <si>
    <t xml:space="preserve">DO NOT QUOTE ANY FIGURE ON THIS TAB TO A BUYER.</t>
  </si>
  <si>
    <t xml:space="preserve">Every tax and road-ready input is ASSUMPTION or CONFLICT until the customs-broker opinion (dossier O-01 to O-04) is on file.</t>
  </si>
  <si>
    <t xml:space="preserve">PILOT P&amp;L — 10 unit and 25 unit scenarios</t>
  </si>
  <si>
    <t xml:space="preserve">Assumes the Rugged 4x4 SUV archetype. Change the linked column on Landed Cost to model a different mix.</t>
  </si>
  <si>
    <t xml:space="preserve">Line</t>
  </si>
  <si>
    <t xml:space="preserve">Option A</t>
  </si>
  <si>
    <t xml:space="preserve">Option B</t>
  </si>
  <si>
    <t xml:space="preserve">Units in pilot</t>
  </si>
  <si>
    <t xml:space="preserve">Demonstration units (not sold)</t>
  </si>
  <si>
    <t xml:space="preserve">Held back to address brand unfamiliarity. Sagaci: ~30% of African respondents unfamiliar with Chinese brands.</t>
  </si>
  <si>
    <t xml:space="preserve">Units available for sale</t>
  </si>
  <si>
    <t xml:space="preserve">Pre-sold gate (minimum)</t>
  </si>
  <si>
    <t xml:space="preserve">Units that must be pre-sold before proceeding</t>
  </si>
  <si>
    <t xml:space="preserve">HARD GATE. Below this, do not place the order. The discipline to walk away is what protects the capital.</t>
  </si>
  <si>
    <t xml:space="preserve">Fully loaded cost per unit</t>
  </si>
  <si>
    <t xml:space="preserve">Indicative retail per unit</t>
  </si>
  <si>
    <t xml:space="preserve">Gross margin per unit</t>
  </si>
  <si>
    <t xml:space="preserve">Vehicle capital required</t>
  </si>
  <si>
    <t xml:space="preserve">Diagnostic equipment and software</t>
  </si>
  <si>
    <t xml:space="preserve">Technician training (cohort of 20)</t>
  </si>
  <si>
    <t xml:space="preserve">Legal, entity and compliance opinions</t>
  </si>
  <si>
    <t xml:space="preserve">Total infrastructure and setup</t>
  </si>
  <si>
    <t xml:space="preserve">This is the number that separates a mobility business from a vehicle trade. It does not scale with unit count.</t>
  </si>
  <si>
    <t xml:space="preserve">TOTAL CAPITAL REQUIRED</t>
  </si>
  <si>
    <t xml:space="preserve">Vehicle sales revenue (units sold)</t>
  </si>
  <si>
    <t xml:space="preserve">Vehicle cost of sales</t>
  </si>
  <si>
    <t xml:space="preserve">Gross profit on vehicles</t>
  </si>
  <si>
    <t xml:space="preserve">Service and parts gross profit, year 1</t>
  </si>
  <si>
    <t xml:space="preserve">The recurring layer. This is the razor-blade revenue that makes the vehicle sale worth making.</t>
  </si>
  <si>
    <t xml:space="preserve">Total gross profit</t>
  </si>
  <si>
    <t xml:space="preserve">Setup cost carried in period</t>
  </si>
  <si>
    <t xml:space="preserve">PILOT RESULT BEFORE TAX</t>
  </si>
  <si>
    <t xml:space="preserve">Return on total capital</t>
  </si>
  <si>
    <t xml:space="preserve">Demo unit cost written into marketing</t>
  </si>
  <si>
    <t xml:space="preserve">Break-even units sold (covers setup)</t>
  </si>
  <si>
    <t xml:space="preserve">Units needed on vehicle margin alone to cover setup. If this exceeds units available for sale, the pilot cannot pay for its own infrastructure — which is expected, and is why the service layer matters.</t>
  </si>
  <si>
    <t xml:space="preserve">READ THIS BEFORE USING THE RESULT</t>
  </si>
  <si>
    <t xml:space="preserve">A negative pilot result is not a failure of the thesis. Setup cost is a one-off that builds the service capability;</t>
  </si>
  <si>
    <t xml:space="preserve">the returns appear in years 2-3 through parts, service, fleet and repeat sales. The question this tab answers is</t>
  </si>
  <si>
    <t xml:space="preserve">"how much capital is at risk, and for how long" — not "is this profitable in period one".</t>
  </si>
  <si>
    <t xml:space="preserve">DRIVER-TO-OWNER TAXI LADDER</t>
  </si>
  <si>
    <t xml:space="preserve">Designed against the Moove precedent, not modelled on it. Every driver figure is UNVERIFIED — dossier O-13.</t>
  </si>
  <si>
    <t xml:space="preserve">DRIVER MONTHLY CASH FLOW</t>
  </si>
  <si>
    <t xml:space="preserve">Gross revenue per day</t>
  </si>
  <si>
    <t xml:space="preserve">UNVERIFIED — 10 driver interviews per city required</t>
  </si>
  <si>
    <t xml:space="preserve">Gross monthly revenue</t>
  </si>
  <si>
    <t xml:space="preserve">Fuel</t>
  </si>
  <si>
    <t xml:space="preserve">CARRIED BY THE FLEET SPV, not the driver — shown here to size the true cost of the asset. See architecture memo.</t>
  </si>
  <si>
    <t xml:space="preserve">Driver net before ladder payment</t>
  </si>
  <si>
    <t xml:space="preserve">Excludes maintenance, because the SPV carries it. This is the number the payment must be sized against.</t>
  </si>
  <si>
    <t xml:space="preserve">LADDER PAYMENT</t>
  </si>
  <si>
    <t xml:space="preserve">Vehicle road-ready cost</t>
  </si>
  <si>
    <t xml:space="preserve">Disclosed financing markup</t>
  </si>
  <si>
    <t xml:space="preserve">Murabaha-style. Source from a LICENSED institution, do not replicate in-house.</t>
  </si>
  <si>
    <t xml:space="preserve">Total amount payable</t>
  </si>
  <si>
    <t xml:space="preserve">Term</t>
  </si>
  <si>
    <t xml:space="preserve">Scheduled monthly payment</t>
  </si>
  <si>
    <t xml:space="preserve">Payment as % of driver net</t>
  </si>
  <si>
    <t xml:space="preserve">Ceiling on payment as % of net</t>
  </si>
  <si>
    <t xml:space="preserve">HARD CEILING — anti-extraction safeguard</t>
  </si>
  <si>
    <t xml:space="preserve">Maximum affordable payment</t>
  </si>
  <si>
    <t xml:space="preserve">GATE: is the schedule affordable?</t>
  </si>
  <si>
    <t xml:space="preserve">If FAIL: lengthen the term, lower the markup, or choose a cheaper vehicle. Do NOT push the gap onto the driver.</t>
  </si>
  <si>
    <t xml:space="preserve">Driver income after payment</t>
  </si>
  <si>
    <t xml:space="preserve">Implied term at the affordability ceiling</t>
  </si>
  <si>
    <t xml:space="preserve">Months required if the payment is capped at the affordability ceiling. Compare against the term above.</t>
  </si>
  <si>
    <t xml:space="preserve">SPV VIEW</t>
  </si>
  <si>
    <t xml:space="preserve">Annual payments received per vehicle</t>
  </si>
  <si>
    <t xml:space="preserve">Annual maintenance carried by SPV</t>
  </si>
  <si>
    <t xml:space="preserve">Net annual cash per vehicle</t>
  </si>
  <si>
    <t xml:space="preserve">Simple payback on vehicle cost (years)</t>
  </si>
  <si>
    <t xml:space="preserve">Moove repossessed vehicles from drivers who missed KPIs (Techpoint Africa). A documented cure period is the difference between a ladder and a trap.</t>
  </si>
  <si>
    <t xml:space="preserve">ANTI-EXTRACTION RULES BUILT INTO THIS SHEET</t>
  </si>
  <si>
    <t xml:space="preserve">1. Payment is sized against evidenced driver net earnings, not against the financier recovery schedule.</t>
  </si>
  <si>
    <t xml:space="preserve">2. Maintenance is carried by the SPV. A driver who cannot afford a repair must not lose the asset over it.</t>
  </si>
  <si>
    <t xml:space="preserve">3. A documented cure period precedes any repossession.</t>
  </si>
  <si>
    <t xml:space="preserve">4. Accrued equity is retained on partial performance, never reset to zero.</t>
  </si>
  <si>
    <t xml:space="preserve">5. No rung of the ladder requires the driver to take personal recourse debt.</t>
  </si>
  <si>
    <t xml:space="preserve">If these rules make the vertical uneconomic, that is a finding — not a reason to remove the rules.</t>
  </si>
  <si>
    <t xml:space="preserve">WORKSHOP AND PARTS — the recurring layer</t>
  </si>
  <si>
    <t xml:space="preserve">Senegal parts market context: USD 38.6m imports in 2024, China largest source at 18%, &gt;2,000 importers, no firm above 10% share.</t>
  </si>
  <si>
    <t xml:space="preserve">PER VEHICLE PER YEAR</t>
  </si>
  <si>
    <t xml:space="preserve">Service visits per year</t>
  </si>
  <si>
    <t xml:space="preserve">Labour revenue per visit</t>
  </si>
  <si>
    <t xml:space="preserve">Parts revenue per visit</t>
  </si>
  <si>
    <t xml:space="preserve">Annual revenue per vehicle</t>
  </si>
  <si>
    <t xml:space="preserve">Labour gross profit</t>
  </si>
  <si>
    <t xml:space="preserve">Parts gross profit</t>
  </si>
  <si>
    <t xml:space="preserve">ANNUAL GROSS PROFIT PER VEHICLE</t>
  </si>
  <si>
    <t xml:space="preserve">This cell feeds the Pilot P&amp;L. It is the whole argument for building service capability before selling volume.</t>
  </si>
  <si>
    <t xml:space="preserve">AT SCALE</t>
  </si>
  <si>
    <t xml:space="preserve">Includes non-corridor vehicles — a workshop that only serves its own brand is under-utilised.</t>
  </si>
  <si>
    <t xml:space="preserve">Annual service and parts revenue</t>
  </si>
  <si>
    <t xml:space="preserve">Annual service and parts gross profit</t>
  </si>
  <si>
    <t xml:space="preserve">Vehicle-sale gross profit equivalent</t>
  </si>
  <si>
    <t xml:space="preserve">How many vehicle sales the service layer is worth per year. When this exceeds realistic sales volume, the service business IS the business.</t>
  </si>
  <si>
    <t xml:space="preserve">WHY THIS TAB MATTERS MORE THAN THE PILOT P&amp;L</t>
  </si>
  <si>
    <t xml:space="preserve">Mauritania removed its vehicle import age limit in 2017, so a new Chinese SUV competes against unrestricted aged imports.</t>
  </si>
  <si>
    <t xml:space="preserve">Senegal raised its limits to 10 and 15 years by decree on 24 October 2025, and ~80% of its registered fleet is already 10+ years old.</t>
  </si>
  <si>
    <t xml:space="preserve">Neither market is short of vehicles. Both are short of trustworthy service, documented history, and parts availability.</t>
  </si>
  <si>
    <t xml:space="preserve">That is the gap the corridor can actually own, and no OEM authorization is required to enter it.</t>
  </si>
  <si>
    <t xml:space="preserve">SCENARIO — the variables that actually move the answer</t>
  </si>
  <si>
    <t xml:space="preserve">Downside / Base / Upside. Base column links live to Assumptions; downside and upside are stress inputs.</t>
  </si>
  <si>
    <t xml:space="preserve">Variable</t>
  </si>
  <si>
    <t xml:space="preserve">Downside</t>
  </si>
  <si>
    <t xml:space="preserve">Base</t>
  </si>
  <si>
    <t xml:space="preserve">Upside</t>
  </si>
  <si>
    <t xml:space="preserve">Why it matters</t>
  </si>
  <si>
    <t xml:space="preserve">The CONFLICT items (statistical fee, IMF) and any vehicle-specific levy sit here. Widest single uncertainty.</t>
  </si>
  <si>
    <t xml:space="preserve">Freight as % of FOB</t>
  </si>
  <si>
    <t xml:space="preserve">RoRo China-Nouakchott is 34-46 days; rates are volatile.</t>
  </si>
  <si>
    <t xml:space="preserve">Target gross margin</t>
  </si>
  <si>
    <t xml:space="preserve">Constrained by aged-import competition, not by cost.</t>
  </si>
  <si>
    <t xml:space="preserve">Pre-sold share achieved</t>
  </si>
  <si>
    <t xml:space="preserve">Below the 70% gate the pilot does not launch.</t>
  </si>
  <si>
    <t xml:space="preserve">Days capital deployed</t>
  </si>
  <si>
    <t xml:space="preserve">Port delays and inconsistent clearance are documented risks.</t>
  </si>
  <si>
    <t xml:space="preserve">Drives the entire recurring layer.</t>
  </si>
  <si>
    <t xml:space="preserve">Driver gross daily revenue (USD)</t>
  </si>
  <si>
    <t xml:space="preserve">Wholly unverified. Determines whether the taxi vertical exists at all.</t>
  </si>
  <si>
    <t xml:space="preserve">DOWNSIDE UNIT ECONOMICS CHECK</t>
  </si>
  <si>
    <t xml:space="preserve">Road-ready cost at downside tax uplift</t>
  </si>
  <si>
    <t xml:space="preserve">Retail at downside cost and downside margin</t>
  </si>
  <si>
    <t xml:space="preserve">Base retail for comparison</t>
  </si>
  <si>
    <t xml:space="preserve">Downside vs base retail</t>
  </si>
  <si>
    <t xml:space="preserve">If the downside retail price exceeds what the lot census says buyers pay, the pilot has no price headroom.</t>
  </si>
  <si>
    <t xml:space="preserve">Downside gross profit per unit</t>
  </si>
  <si>
    <t xml:space="preserve">The real downside bite: higher tax uplift AND compressed margin. Compare with the base figure below.</t>
  </si>
  <si>
    <t xml:space="preserve">Base gross profit per unit</t>
  </si>
  <si>
    <t xml:space="preserve">Downside vs base gross profit</t>
  </si>
  <si>
    <t xml:space="preserve">2. That buyers will pay a premium over aged imports for an unfamiliar brand. Untested — needs the 25 interviews and the lot census.</t>
  </si>
  <si>
    <t xml:space="preserve">THE THREE ASSUMPTIONS MOST LIKELY TO BREAK THIS</t>
  </si>
  <si>
    <t xml:space="preserve">1. That the tax stack is what desk research says it is. It is built on two unresolved CONFLICTs and a 2017 decree in a redenominated currency.</t>
  </si>
  <si>
    <t xml:space="preserve">3. That service revenue materialises at the assumed frequency and margin. No workshop registry exists in either country yet.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</si>
</sst>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\$#,##0;&quot;($&quot;#,##0\);\-"/>
    <numFmt numFmtId="167" formatCode="#,##0.00"/>
    <numFmt numFmtId="168" formatCode="#,##0;\(#,##0\);\-"/>
    <numFmt numFmtId="169" formatCode="\$#,##0.00;&quot;($&quot;#,##0.00\);\-"/>
    <numFmt numFmtId="170" formatCode="0.0"/>
    <numFmt numFmtId="171" formatCode="#,##0"/>
    <numFmt numFmtId="172" formatCode="\$#,##0;&quot;($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6"/>
  </cols>
  <sheetData>
    <row r="1" customFormat="false" ht="17.25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4" t="s">
        <v>1</v>
      </c>
      <c r="B2" s="3"/>
    </row>
    <row r="3" customFormat="false" ht="15" hidden="false" customHeight="true" outlineLevel="0" collapsed="false">
      <c r="A3" s="3"/>
      <c r="B3" s="3"/>
    </row>
    <row r="4" customFormat="false" ht="15" hidden="false" customHeight="true" outlineLevel="0" collapsed="false">
      <c r="A4" s="5" t="s">
        <v>2</v>
      </c>
      <c r="B4" s="3" t="s">
        <v>3</v>
      </c>
    </row>
    <row r="5" customFormat="false" ht="15" hidden="false" customHeight="true" outlineLevel="0" collapsed="false">
      <c r="A5" s="5" t="s">
        <v>4</v>
      </c>
      <c r="B5" s="3" t="s">
        <v>5</v>
      </c>
    </row>
    <row r="6" customFormat="false" ht="15" hidden="false" customHeight="true" outlineLevel="0" collapsed="false">
      <c r="A6" s="5" t="s">
        <v>6</v>
      </c>
      <c r="B6" s="3" t="s">
        <v>7</v>
      </c>
    </row>
    <row r="7" customFormat="false" ht="15" hidden="false" customHeight="true" outlineLevel="0" collapsed="false">
      <c r="A7" s="5" t="s">
        <v>8</v>
      </c>
      <c r="B7" s="3" t="s">
        <v>9</v>
      </c>
    </row>
    <row r="8" customFormat="false" ht="15" hidden="false" customHeight="true" outlineLevel="0" collapsed="false">
      <c r="A8" s="3"/>
      <c r="B8" s="3"/>
    </row>
    <row r="9" customFormat="false" ht="15" hidden="false" customHeight="true" outlineLevel="0" collapsed="false">
      <c r="A9" s="5" t="s">
        <v>10</v>
      </c>
      <c r="B9" s="3"/>
    </row>
    <row r="10" customFormat="false" ht="15" hidden="false" customHeight="true" outlineLevel="0" collapsed="false">
      <c r="A10" s="3" t="s">
        <v>11</v>
      </c>
      <c r="B10" s="3" t="s">
        <v>12</v>
      </c>
    </row>
    <row r="11" customFormat="false" ht="15" hidden="false" customHeight="true" outlineLevel="0" collapsed="false">
      <c r="A11" s="3" t="s">
        <v>13</v>
      </c>
      <c r="B11" s="3" t="s">
        <v>14</v>
      </c>
    </row>
    <row r="12" customFormat="false" ht="15" hidden="false" customHeight="true" outlineLevel="0" collapsed="false">
      <c r="A12" s="3" t="s">
        <v>15</v>
      </c>
      <c r="B12" s="3" t="s">
        <v>16</v>
      </c>
    </row>
    <row r="13" customFormat="false" ht="15" hidden="false" customHeight="true" outlineLevel="0" collapsed="false">
      <c r="A13" s="3" t="s">
        <v>17</v>
      </c>
      <c r="B13" s="3" t="s">
        <v>18</v>
      </c>
    </row>
    <row r="14" customFormat="false" ht="15" hidden="false" customHeight="true" outlineLevel="0" collapsed="false">
      <c r="A14" s="3"/>
      <c r="B14" s="3"/>
    </row>
    <row r="15" customFormat="false" ht="15" hidden="false" customHeight="true" outlineLevel="0" collapsed="false">
      <c r="A15" s="5" t="s">
        <v>19</v>
      </c>
      <c r="B15" s="3"/>
    </row>
    <row r="16" customFormat="false" ht="15" hidden="false" customHeight="true" outlineLevel="0" collapsed="false">
      <c r="A16" s="5" t="s">
        <v>20</v>
      </c>
      <c r="B16" s="3" t="s">
        <v>21</v>
      </c>
    </row>
    <row r="17" customFormat="false" ht="15" hidden="false" customHeight="true" outlineLevel="0" collapsed="false">
      <c r="A17" s="5" t="s">
        <v>22</v>
      </c>
      <c r="B17" s="3" t="s">
        <v>23</v>
      </c>
    </row>
    <row r="18" customFormat="false" ht="15" hidden="false" customHeight="true" outlineLevel="0" collapsed="false">
      <c r="A18" s="5" t="s">
        <v>24</v>
      </c>
      <c r="B18" s="3" t="s">
        <v>25</v>
      </c>
    </row>
    <row r="19" customFormat="false" ht="15" hidden="false" customHeight="true" outlineLevel="0" collapsed="false">
      <c r="A19" s="5" t="s">
        <v>26</v>
      </c>
      <c r="B19" s="3" t="s">
        <v>27</v>
      </c>
    </row>
    <row r="20" customFormat="false" ht="15" hidden="false" customHeight="true" outlineLevel="0" collapsed="false">
      <c r="A20" s="3"/>
      <c r="B20" s="3"/>
    </row>
    <row r="21" customFormat="false" ht="15" hidden="false" customHeight="true" outlineLevel="0" collapsed="false">
      <c r="A21" s="6" t="s">
        <v>28</v>
      </c>
      <c r="B21" s="3"/>
    </row>
    <row r="22" customFormat="false" ht="15" hidden="false" customHeight="true" outlineLevel="0" collapsed="false">
      <c r="A22" s="3"/>
      <c r="B22" s="3" t="s">
        <v>29</v>
      </c>
    </row>
    <row r="23" customFormat="false" ht="15" hidden="false" customHeight="true" outlineLevel="0" collapsed="false">
      <c r="A23" s="3"/>
      <c r="B23" s="3" t="s">
        <v>30</v>
      </c>
    </row>
    <row r="24" customFormat="false" ht="15" hidden="false" customHeight="true" outlineLevel="0" collapsed="false">
      <c r="A24" s="3"/>
      <c r="B24" s="3" t="s">
        <v>31</v>
      </c>
    </row>
    <row r="25" customFormat="false" ht="15" hidden="false" customHeight="true" outlineLevel="0" collapsed="false">
      <c r="A25" s="3"/>
      <c r="B25" s="3" t="s">
        <v>32</v>
      </c>
    </row>
    <row r="26" customFormat="false" ht="15" hidden="false" customHeight="true" outlineLevel="0" collapsed="false">
      <c r="A26" s="3"/>
      <c r="B26" s="3"/>
    </row>
    <row r="27" customFormat="false" ht="15" hidden="false" customHeight="true" outlineLevel="0" collapsed="false">
      <c r="A27" s="5" t="s">
        <v>33</v>
      </c>
      <c r="B27" s="3"/>
    </row>
    <row r="28" customFormat="false" ht="15" hidden="false" customHeight="true" outlineLevel="0" collapsed="false">
      <c r="A28" s="5" t="s">
        <v>34</v>
      </c>
      <c r="B28" s="3" t="s">
        <v>35</v>
      </c>
    </row>
    <row r="29" customFormat="false" ht="15" hidden="false" customHeight="true" outlineLevel="0" collapsed="false">
      <c r="A29" s="5" t="s">
        <v>36</v>
      </c>
      <c r="B29" s="3" t="s">
        <v>37</v>
      </c>
    </row>
    <row r="30" customFormat="false" ht="15" hidden="false" customHeight="true" outlineLevel="0" collapsed="false">
      <c r="A30" s="5" t="s">
        <v>38</v>
      </c>
      <c r="B30" s="3" t="s">
        <v>39</v>
      </c>
    </row>
    <row r="31" customFormat="false" ht="15" hidden="false" customHeight="true" outlineLevel="0" collapsed="false">
      <c r="A31" s="5" t="s">
        <v>40</v>
      </c>
      <c r="B31" s="3" t="s">
        <v>41</v>
      </c>
    </row>
    <row r="32" customFormat="false" ht="15" hidden="false" customHeight="true" outlineLevel="0" collapsed="false">
      <c r="A32" s="5" t="s">
        <v>42</v>
      </c>
      <c r="B32" s="3" t="s">
        <v>43</v>
      </c>
    </row>
    <row r="33" customFormat="false" ht="15" hidden="false" customHeight="true" outlineLevel="0" collapsed="false">
      <c r="A33" s="5" t="s">
        <v>44</v>
      </c>
      <c r="B33" s="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62"/>
  </cols>
  <sheetData>
    <row r="1" customFormat="false" ht="17.25" hidden="false" customHeight="true" outlineLevel="0" collapsed="false">
      <c r="A1" s="2" t="s">
        <v>46</v>
      </c>
      <c r="B1" s="3"/>
      <c r="C1" s="3"/>
      <c r="D1" s="3"/>
      <c r="E1" s="3"/>
    </row>
    <row r="2" customFormat="false" ht="15" hidden="false" customHeight="true" outlineLevel="0" collapsed="false">
      <c r="A2" s="4" t="s">
        <v>47</v>
      </c>
      <c r="B2" s="3"/>
      <c r="C2" s="3"/>
      <c r="D2" s="3"/>
      <c r="E2" s="3"/>
    </row>
    <row r="3" customFormat="false" ht="15" hidden="false" customHeight="true" outlineLevel="0" collapsed="false">
      <c r="A3" s="3"/>
      <c r="B3" s="3"/>
      <c r="C3" s="3"/>
      <c r="D3" s="3"/>
      <c r="E3" s="3"/>
    </row>
    <row r="4" customFormat="false" ht="15" hidden="false" customHeight="true" outlineLevel="0" collapsed="false">
      <c r="A4" s="7" t="s">
        <v>48</v>
      </c>
      <c r="B4" s="7" t="s">
        <v>49</v>
      </c>
      <c r="C4" s="7" t="s">
        <v>50</v>
      </c>
      <c r="D4" s="7" t="s">
        <v>51</v>
      </c>
      <c r="E4" s="7" t="s">
        <v>52</v>
      </c>
    </row>
    <row r="5" customFormat="false" ht="15" hidden="false" customHeight="true" outlineLevel="0" collapsed="false">
      <c r="A5" s="8" t="s">
        <v>53</v>
      </c>
      <c r="B5" s="9"/>
      <c r="C5" s="9"/>
      <c r="D5" s="9"/>
      <c r="E5" s="9"/>
    </row>
    <row r="6" customFormat="false" ht="15" hidden="false" customHeight="true" outlineLevel="0" collapsed="false">
      <c r="A6" s="10" t="s">
        <v>54</v>
      </c>
      <c r="B6" s="11" t="n">
        <v>0.2</v>
      </c>
      <c r="C6" s="10" t="s">
        <v>55</v>
      </c>
      <c r="D6" s="12" t="s">
        <v>20</v>
      </c>
      <c r="E6" s="13" t="s">
        <v>56</v>
      </c>
    </row>
    <row r="7" customFormat="false" ht="15" hidden="false" customHeight="true" outlineLevel="0" collapsed="false">
      <c r="A7" s="10" t="s">
        <v>57</v>
      </c>
      <c r="B7" s="14" t="n">
        <v>0.01</v>
      </c>
      <c r="C7" s="10" t="s">
        <v>55</v>
      </c>
      <c r="D7" s="12" t="s">
        <v>22</v>
      </c>
      <c r="E7" s="13" t="s">
        <v>58</v>
      </c>
    </row>
    <row r="8" customFormat="false" ht="15" hidden="false" customHeight="true" outlineLevel="0" collapsed="false">
      <c r="A8" s="10" t="s">
        <v>59</v>
      </c>
      <c r="B8" s="11" t="n">
        <v>0.01</v>
      </c>
      <c r="C8" s="10" t="s">
        <v>55</v>
      </c>
      <c r="D8" s="12" t="s">
        <v>20</v>
      </c>
      <c r="E8" s="13" t="s">
        <v>60</v>
      </c>
    </row>
    <row r="9" customFormat="false" ht="15" hidden="false" customHeight="true" outlineLevel="0" collapsed="false">
      <c r="A9" s="10" t="s">
        <v>61</v>
      </c>
      <c r="B9" s="14" t="n">
        <v>0.025</v>
      </c>
      <c r="C9" s="10" t="s">
        <v>55</v>
      </c>
      <c r="D9" s="12" t="s">
        <v>22</v>
      </c>
      <c r="E9" s="13" t="s">
        <v>62</v>
      </c>
    </row>
    <row r="10" customFormat="false" ht="15" hidden="false" customHeight="true" outlineLevel="0" collapsed="false">
      <c r="A10" s="10" t="s">
        <v>63</v>
      </c>
      <c r="B10" s="11" t="n">
        <v>0.16</v>
      </c>
      <c r="C10" s="10" t="s">
        <v>64</v>
      </c>
      <c r="D10" s="12" t="s">
        <v>20</v>
      </c>
      <c r="E10" s="13" t="s">
        <v>65</v>
      </c>
    </row>
    <row r="11" customFormat="false" ht="15" hidden="false" customHeight="true" outlineLevel="0" collapsed="false">
      <c r="A11" s="8" t="s">
        <v>66</v>
      </c>
      <c r="B11" s="9"/>
      <c r="C11" s="9"/>
      <c r="D11" s="9"/>
      <c r="E11" s="9"/>
    </row>
    <row r="12" customFormat="false" ht="15" hidden="false" customHeight="true" outlineLevel="0" collapsed="false">
      <c r="A12" s="10" t="s">
        <v>67</v>
      </c>
      <c r="B12" s="14" t="n">
        <v>0.09</v>
      </c>
      <c r="C12" s="10" t="s">
        <v>68</v>
      </c>
      <c r="D12" s="12" t="s">
        <v>24</v>
      </c>
      <c r="E12" s="13" t="s">
        <v>69</v>
      </c>
    </row>
    <row r="13" customFormat="false" ht="15" hidden="false" customHeight="true" outlineLevel="0" collapsed="false">
      <c r="A13" s="10" t="s">
        <v>70</v>
      </c>
      <c r="B13" s="15" t="n">
        <v>450</v>
      </c>
      <c r="C13" s="10" t="s">
        <v>71</v>
      </c>
      <c r="D13" s="12" t="s">
        <v>24</v>
      </c>
      <c r="E13" s="13" t="s">
        <v>72</v>
      </c>
    </row>
    <row r="14" customFormat="false" ht="15" hidden="false" customHeight="true" outlineLevel="0" collapsed="false">
      <c r="A14" s="10" t="s">
        <v>73</v>
      </c>
      <c r="B14" s="15" t="n">
        <v>350</v>
      </c>
      <c r="C14" s="10" t="s">
        <v>71</v>
      </c>
      <c r="D14" s="12" t="s">
        <v>24</v>
      </c>
      <c r="E14" s="13" t="s">
        <v>72</v>
      </c>
    </row>
    <row r="15" customFormat="false" ht="15" hidden="false" customHeight="true" outlineLevel="0" collapsed="false">
      <c r="A15" s="10" t="s">
        <v>74</v>
      </c>
      <c r="B15" s="16" t="n">
        <v>9</v>
      </c>
      <c r="C15" s="10" t="s">
        <v>75</v>
      </c>
      <c r="D15" s="12" t="s">
        <v>20</v>
      </c>
      <c r="E15" s="13" t="s">
        <v>76</v>
      </c>
    </row>
    <row r="16" customFormat="false" ht="15" hidden="false" customHeight="true" outlineLevel="0" collapsed="false">
      <c r="A16" s="10" t="s">
        <v>77</v>
      </c>
      <c r="B16" s="15" t="n">
        <v>150</v>
      </c>
      <c r="C16" s="10" t="s">
        <v>71</v>
      </c>
      <c r="D16" s="12" t="s">
        <v>24</v>
      </c>
      <c r="E16" s="13" t="s">
        <v>78</v>
      </c>
    </row>
    <row r="17" customFormat="false" ht="15" hidden="false" customHeight="true" outlineLevel="0" collapsed="false">
      <c r="A17" s="10" t="s">
        <v>79</v>
      </c>
      <c r="B17" s="15" t="n">
        <v>300</v>
      </c>
      <c r="C17" s="10" t="s">
        <v>71</v>
      </c>
      <c r="D17" s="12" t="s">
        <v>24</v>
      </c>
      <c r="E17" s="13" t="s">
        <v>78</v>
      </c>
    </row>
    <row r="18" customFormat="false" ht="15" hidden="false" customHeight="true" outlineLevel="0" collapsed="false">
      <c r="A18" s="10" t="s">
        <v>80</v>
      </c>
      <c r="B18" s="15" t="n">
        <v>60</v>
      </c>
      <c r="C18" s="10" t="s">
        <v>71</v>
      </c>
      <c r="D18" s="12" t="s">
        <v>24</v>
      </c>
      <c r="E18" s="13" t="s">
        <v>78</v>
      </c>
    </row>
    <row r="19" customFormat="false" ht="15" hidden="false" customHeight="true" outlineLevel="0" collapsed="false">
      <c r="A19" s="10" t="s">
        <v>81</v>
      </c>
      <c r="B19" s="15" t="n">
        <v>500</v>
      </c>
      <c r="C19" s="10" t="s">
        <v>71</v>
      </c>
      <c r="D19" s="12" t="s">
        <v>24</v>
      </c>
      <c r="E19" s="13" t="s">
        <v>82</v>
      </c>
    </row>
    <row r="20" customFormat="false" ht="15" hidden="false" customHeight="true" outlineLevel="0" collapsed="false">
      <c r="A20" s="10" t="s">
        <v>83</v>
      </c>
      <c r="B20" s="15" t="n">
        <v>200</v>
      </c>
      <c r="C20" s="10" t="s">
        <v>71</v>
      </c>
      <c r="D20" s="12" t="s">
        <v>24</v>
      </c>
      <c r="E20" s="13" t="s">
        <v>84</v>
      </c>
    </row>
    <row r="21" customFormat="false" ht="15" hidden="false" customHeight="true" outlineLevel="0" collapsed="false">
      <c r="A21" s="8" t="s">
        <v>85</v>
      </c>
      <c r="B21" s="9"/>
      <c r="C21" s="9"/>
      <c r="D21" s="9"/>
      <c r="E21" s="9"/>
    </row>
    <row r="22" customFormat="false" ht="15" hidden="false" customHeight="true" outlineLevel="0" collapsed="false">
      <c r="A22" s="10" t="s">
        <v>86</v>
      </c>
      <c r="B22" s="14" t="n">
        <v>0.18</v>
      </c>
      <c r="C22" s="10" t="s">
        <v>87</v>
      </c>
      <c r="D22" s="12" t="s">
        <v>24</v>
      </c>
      <c r="E22" s="13" t="s">
        <v>88</v>
      </c>
    </row>
    <row r="23" customFormat="false" ht="15" hidden="false" customHeight="true" outlineLevel="0" collapsed="false">
      <c r="A23" s="10" t="s">
        <v>89</v>
      </c>
      <c r="B23" s="17" t="n">
        <v>40</v>
      </c>
      <c r="C23" s="10" t="s">
        <v>90</v>
      </c>
      <c r="D23" s="12" t="s">
        <v>24</v>
      </c>
      <c r="E23" s="13" t="s">
        <v>91</v>
      </c>
    </row>
    <row r="24" customFormat="false" ht="15" hidden="false" customHeight="true" outlineLevel="0" collapsed="false">
      <c r="A24" s="8" t="s">
        <v>92</v>
      </c>
      <c r="B24" s="9"/>
      <c r="C24" s="9"/>
      <c r="D24" s="9"/>
      <c r="E24" s="9"/>
    </row>
    <row r="25" customFormat="false" ht="15" hidden="false" customHeight="true" outlineLevel="0" collapsed="false">
      <c r="A25" s="10" t="s">
        <v>93</v>
      </c>
      <c r="B25" s="18" t="n">
        <v>10</v>
      </c>
      <c r="C25" s="10" t="s">
        <v>94</v>
      </c>
      <c r="D25" s="12" t="s">
        <v>95</v>
      </c>
      <c r="E25" s="13" t="s">
        <v>96</v>
      </c>
    </row>
    <row r="26" customFormat="false" ht="15" hidden="false" customHeight="true" outlineLevel="0" collapsed="false">
      <c r="A26" s="10" t="s">
        <v>97</v>
      </c>
      <c r="B26" s="18" t="n">
        <v>25</v>
      </c>
      <c r="C26" s="10" t="s">
        <v>94</v>
      </c>
      <c r="D26" s="12" t="s">
        <v>95</v>
      </c>
      <c r="E26" s="13" t="s">
        <v>98</v>
      </c>
    </row>
    <row r="27" customFormat="false" ht="15" hidden="false" customHeight="true" outlineLevel="0" collapsed="false">
      <c r="A27" s="10" t="s">
        <v>99</v>
      </c>
      <c r="B27" s="11" t="n">
        <v>0.7</v>
      </c>
      <c r="C27" s="10" t="s">
        <v>100</v>
      </c>
      <c r="D27" s="12" t="s">
        <v>95</v>
      </c>
      <c r="E27" s="13" t="s">
        <v>101</v>
      </c>
    </row>
    <row r="28" customFormat="false" ht="15" hidden="false" customHeight="true" outlineLevel="0" collapsed="false">
      <c r="A28" s="10" t="s">
        <v>102</v>
      </c>
      <c r="B28" s="18" t="n">
        <v>2</v>
      </c>
      <c r="C28" s="10" t="s">
        <v>94</v>
      </c>
      <c r="D28" s="12" t="s">
        <v>95</v>
      </c>
      <c r="E28" s="13" t="s">
        <v>103</v>
      </c>
    </row>
    <row r="29" customFormat="false" ht="15" hidden="false" customHeight="true" outlineLevel="0" collapsed="false">
      <c r="A29" s="10" t="s">
        <v>104</v>
      </c>
      <c r="B29" s="14" t="n">
        <v>0.12</v>
      </c>
      <c r="C29" s="10" t="s">
        <v>105</v>
      </c>
      <c r="D29" s="12" t="s">
        <v>24</v>
      </c>
      <c r="E29" s="13" t="s">
        <v>106</v>
      </c>
    </row>
    <row r="30" customFormat="false" ht="15" hidden="false" customHeight="true" outlineLevel="0" collapsed="false">
      <c r="A30" s="10" t="s">
        <v>107</v>
      </c>
      <c r="B30" s="19" t="n">
        <v>120</v>
      </c>
      <c r="C30" s="10" t="s">
        <v>108</v>
      </c>
      <c r="D30" s="12" t="s">
        <v>24</v>
      </c>
      <c r="E30" s="13" t="s">
        <v>109</v>
      </c>
    </row>
    <row r="31" customFormat="false" ht="15" hidden="false" customHeight="true" outlineLevel="0" collapsed="false">
      <c r="A31" s="8" t="s">
        <v>110</v>
      </c>
      <c r="B31" s="9"/>
      <c r="C31" s="9"/>
      <c r="D31" s="9"/>
      <c r="E31" s="9"/>
    </row>
    <row r="32" customFormat="false" ht="15" hidden="false" customHeight="true" outlineLevel="0" collapsed="false">
      <c r="A32" s="10" t="s">
        <v>111</v>
      </c>
      <c r="B32" s="15" t="n">
        <v>45000</v>
      </c>
      <c r="C32" s="10" t="s">
        <v>112</v>
      </c>
      <c r="D32" s="12" t="s">
        <v>24</v>
      </c>
      <c r="E32" s="13" t="s">
        <v>113</v>
      </c>
    </row>
    <row r="33" customFormat="false" ht="15" hidden="false" customHeight="true" outlineLevel="0" collapsed="false">
      <c r="A33" s="10" t="s">
        <v>114</v>
      </c>
      <c r="B33" s="15" t="n">
        <v>12000</v>
      </c>
      <c r="C33" s="10" t="s">
        <v>112</v>
      </c>
      <c r="D33" s="12" t="s">
        <v>24</v>
      </c>
      <c r="E33" s="13" t="s">
        <v>115</v>
      </c>
    </row>
    <row r="34" customFormat="false" ht="15" hidden="false" customHeight="true" outlineLevel="0" collapsed="false">
      <c r="A34" s="10" t="s">
        <v>116</v>
      </c>
      <c r="B34" s="15" t="n">
        <v>35000</v>
      </c>
      <c r="C34" s="10" t="s">
        <v>112</v>
      </c>
      <c r="D34" s="12" t="s">
        <v>24</v>
      </c>
      <c r="E34" s="13" t="s">
        <v>117</v>
      </c>
    </row>
    <row r="35" customFormat="false" ht="15" hidden="false" customHeight="true" outlineLevel="0" collapsed="false">
      <c r="A35" s="10" t="s">
        <v>118</v>
      </c>
      <c r="B35" s="15" t="n">
        <v>30000</v>
      </c>
      <c r="C35" s="10" t="s">
        <v>112</v>
      </c>
      <c r="D35" s="12" t="s">
        <v>24</v>
      </c>
      <c r="E35" s="13" t="s">
        <v>119</v>
      </c>
    </row>
    <row r="36" customFormat="false" ht="15" hidden="false" customHeight="true" outlineLevel="0" collapsed="false">
      <c r="A36" s="10" t="s">
        <v>120</v>
      </c>
      <c r="B36" s="15" t="n">
        <v>48000</v>
      </c>
      <c r="C36" s="10" t="s">
        <v>112</v>
      </c>
      <c r="D36" s="12" t="s">
        <v>24</v>
      </c>
      <c r="E36" s="13" t="s">
        <v>121</v>
      </c>
    </row>
    <row r="37" customFormat="false" ht="15" hidden="false" customHeight="true" outlineLevel="0" collapsed="false">
      <c r="A37" s="10" t="s">
        <v>122</v>
      </c>
      <c r="B37" s="15" t="n">
        <v>24000</v>
      </c>
      <c r="C37" s="10" t="s">
        <v>112</v>
      </c>
      <c r="D37" s="12" t="s">
        <v>24</v>
      </c>
      <c r="E37" s="13" t="s">
        <v>121</v>
      </c>
    </row>
    <row r="38" customFormat="false" ht="15" hidden="false" customHeight="true" outlineLevel="0" collapsed="false">
      <c r="A38" s="10" t="s">
        <v>123</v>
      </c>
      <c r="B38" s="15" t="n">
        <v>20000</v>
      </c>
      <c r="C38" s="10" t="s">
        <v>112</v>
      </c>
      <c r="D38" s="12" t="s">
        <v>24</v>
      </c>
      <c r="E38" s="13" t="s">
        <v>124</v>
      </c>
    </row>
    <row r="39" customFormat="false" ht="15" hidden="false" customHeight="true" outlineLevel="0" collapsed="false">
      <c r="A39" s="10" t="s">
        <v>125</v>
      </c>
      <c r="B39" s="15" t="n">
        <v>35000</v>
      </c>
      <c r="C39" s="10" t="s">
        <v>112</v>
      </c>
      <c r="D39" s="12" t="s">
        <v>24</v>
      </c>
      <c r="E39" s="13" t="s">
        <v>126</v>
      </c>
    </row>
    <row r="40" customFormat="false" ht="15" hidden="false" customHeight="true" outlineLevel="0" collapsed="false">
      <c r="A40" s="8" t="s">
        <v>127</v>
      </c>
      <c r="B40" s="9"/>
      <c r="C40" s="9"/>
      <c r="D40" s="9"/>
      <c r="E40" s="9"/>
    </row>
    <row r="41" customFormat="false" ht="15" hidden="false" customHeight="true" outlineLevel="0" collapsed="false">
      <c r="A41" s="10" t="s">
        <v>128</v>
      </c>
      <c r="B41" s="15" t="n">
        <v>16000</v>
      </c>
      <c r="C41" s="10" t="s">
        <v>112</v>
      </c>
      <c r="D41" s="12" t="s">
        <v>24</v>
      </c>
      <c r="E41" s="13" t="s">
        <v>129</v>
      </c>
    </row>
    <row r="42" customFormat="false" ht="15" hidden="false" customHeight="true" outlineLevel="0" collapsed="false">
      <c r="A42" s="10" t="s">
        <v>130</v>
      </c>
      <c r="B42" s="20" t="n">
        <v>28</v>
      </c>
      <c r="C42" s="10" t="s">
        <v>131</v>
      </c>
      <c r="D42" s="12" t="s">
        <v>24</v>
      </c>
      <c r="E42" s="13" t="s">
        <v>132</v>
      </c>
    </row>
    <row r="43" customFormat="false" ht="15" hidden="false" customHeight="true" outlineLevel="0" collapsed="false">
      <c r="A43" s="10" t="s">
        <v>133</v>
      </c>
      <c r="B43" s="19" t="n">
        <v>26</v>
      </c>
      <c r="C43" s="10" t="s">
        <v>108</v>
      </c>
      <c r="D43" s="12" t="s">
        <v>24</v>
      </c>
      <c r="E43" s="13" t="s">
        <v>134</v>
      </c>
    </row>
    <row r="44" customFormat="false" ht="15" hidden="false" customHeight="true" outlineLevel="0" collapsed="false">
      <c r="A44" s="10" t="s">
        <v>135</v>
      </c>
      <c r="B44" s="20" t="n">
        <v>9</v>
      </c>
      <c r="C44" s="10" t="s">
        <v>131</v>
      </c>
      <c r="D44" s="12" t="s">
        <v>24</v>
      </c>
      <c r="E44" s="13" t="s">
        <v>134</v>
      </c>
    </row>
    <row r="45" customFormat="false" ht="15" hidden="false" customHeight="true" outlineLevel="0" collapsed="false">
      <c r="A45" s="10" t="s">
        <v>136</v>
      </c>
      <c r="B45" s="15" t="n">
        <v>90</v>
      </c>
      <c r="C45" s="10" t="s">
        <v>137</v>
      </c>
      <c r="D45" s="12" t="s">
        <v>24</v>
      </c>
      <c r="E45" s="13" t="s">
        <v>138</v>
      </c>
    </row>
    <row r="46" customFormat="false" ht="15" hidden="false" customHeight="true" outlineLevel="0" collapsed="false">
      <c r="A46" s="10" t="s">
        <v>139</v>
      </c>
      <c r="B46" s="15" t="n">
        <v>70</v>
      </c>
      <c r="C46" s="10" t="s">
        <v>137</v>
      </c>
      <c r="D46" s="12" t="s">
        <v>24</v>
      </c>
      <c r="E46" s="13" t="s">
        <v>134</v>
      </c>
    </row>
    <row r="47" customFormat="false" ht="15" hidden="false" customHeight="true" outlineLevel="0" collapsed="false">
      <c r="A47" s="10" t="s">
        <v>140</v>
      </c>
      <c r="B47" s="18" t="n">
        <v>36</v>
      </c>
      <c r="C47" s="10" t="s">
        <v>141</v>
      </c>
      <c r="D47" s="12" t="s">
        <v>95</v>
      </c>
      <c r="E47" s="13" t="s">
        <v>142</v>
      </c>
    </row>
    <row r="48" customFormat="false" ht="15" hidden="false" customHeight="true" outlineLevel="0" collapsed="false">
      <c r="A48" s="10" t="s">
        <v>143</v>
      </c>
      <c r="B48" s="11" t="n">
        <v>0.3</v>
      </c>
      <c r="C48" s="10" t="s">
        <v>144</v>
      </c>
      <c r="D48" s="12" t="s">
        <v>95</v>
      </c>
      <c r="E48" s="13" t="s">
        <v>145</v>
      </c>
    </row>
    <row r="49" customFormat="false" ht="15" hidden="false" customHeight="true" outlineLevel="0" collapsed="false">
      <c r="A49" s="10" t="s">
        <v>146</v>
      </c>
      <c r="B49" s="18" t="n">
        <v>60</v>
      </c>
      <c r="C49" s="10" t="s">
        <v>108</v>
      </c>
      <c r="D49" s="12" t="s">
        <v>95</v>
      </c>
      <c r="E49" s="13" t="s">
        <v>147</v>
      </c>
    </row>
    <row r="50" customFormat="false" ht="15" hidden="false" customHeight="true" outlineLevel="0" collapsed="false">
      <c r="A50" s="10" t="s">
        <v>148</v>
      </c>
      <c r="B50" s="11" t="n">
        <v>0.45</v>
      </c>
      <c r="C50" s="10" t="s">
        <v>87</v>
      </c>
      <c r="D50" s="12" t="s">
        <v>95</v>
      </c>
      <c r="E50" s="13" t="s">
        <v>149</v>
      </c>
    </row>
    <row r="51" customFormat="false" ht="15" hidden="false" customHeight="true" outlineLevel="0" collapsed="false">
      <c r="A51" s="8" t="s">
        <v>150</v>
      </c>
      <c r="B51" s="9"/>
      <c r="C51" s="9"/>
      <c r="D51" s="9"/>
      <c r="E51" s="9"/>
    </row>
    <row r="52" customFormat="false" ht="15" hidden="false" customHeight="true" outlineLevel="0" collapsed="false">
      <c r="A52" s="10" t="s">
        <v>151</v>
      </c>
      <c r="B52" s="21" t="n">
        <v>3</v>
      </c>
      <c r="C52" s="10" t="s">
        <v>152</v>
      </c>
      <c r="D52" s="12" t="s">
        <v>24</v>
      </c>
      <c r="E52" s="13" t="s">
        <v>124</v>
      </c>
    </row>
    <row r="53" customFormat="false" ht="15" hidden="false" customHeight="true" outlineLevel="0" collapsed="false">
      <c r="A53" s="10" t="s">
        <v>153</v>
      </c>
      <c r="B53" s="15" t="n">
        <v>85</v>
      </c>
      <c r="C53" s="10" t="s">
        <v>112</v>
      </c>
      <c r="D53" s="12" t="s">
        <v>24</v>
      </c>
      <c r="E53" s="13" t="s">
        <v>154</v>
      </c>
    </row>
    <row r="54" customFormat="false" ht="15" hidden="false" customHeight="true" outlineLevel="0" collapsed="false">
      <c r="A54" s="10" t="s">
        <v>155</v>
      </c>
      <c r="B54" s="15" t="n">
        <v>130</v>
      </c>
      <c r="C54" s="10" t="s">
        <v>112</v>
      </c>
      <c r="D54" s="12" t="s">
        <v>24</v>
      </c>
      <c r="E54" s="13" t="s">
        <v>156</v>
      </c>
    </row>
    <row r="55" customFormat="false" ht="15" hidden="false" customHeight="true" outlineLevel="0" collapsed="false">
      <c r="A55" s="10" t="s">
        <v>157</v>
      </c>
      <c r="B55" s="14" t="n">
        <v>0.32</v>
      </c>
      <c r="C55" s="10" t="s">
        <v>87</v>
      </c>
      <c r="D55" s="12" t="s">
        <v>24</v>
      </c>
      <c r="E55" s="13" t="s">
        <v>158</v>
      </c>
    </row>
    <row r="56" customFormat="false" ht="15" hidden="false" customHeight="true" outlineLevel="0" collapsed="false">
      <c r="A56" s="10" t="s">
        <v>159</v>
      </c>
      <c r="B56" s="14" t="n">
        <v>0.65</v>
      </c>
      <c r="C56" s="10" t="s">
        <v>87</v>
      </c>
      <c r="D56" s="12" t="s">
        <v>24</v>
      </c>
      <c r="E56" s="13" t="s">
        <v>160</v>
      </c>
    </row>
    <row r="57" customFormat="false" ht="15" hidden="false" customHeight="true" outlineLevel="0" collapsed="false">
      <c r="A57" s="10" t="s">
        <v>161</v>
      </c>
      <c r="B57" s="19" t="n">
        <v>120</v>
      </c>
      <c r="C57" s="10" t="s">
        <v>162</v>
      </c>
      <c r="D57" s="12" t="s">
        <v>24</v>
      </c>
      <c r="E57" s="13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7" min="2" style="1" width="16"/>
    <col collapsed="false" customWidth="true" hidden="false" outlineLevel="0" max="8" min="8" style="1" width="52"/>
  </cols>
  <sheetData>
    <row r="1" customFormat="false" ht="17.25" hidden="false" customHeight="true" outlineLevel="0" collapsed="false">
      <c r="A1" s="2" t="s">
        <v>164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22" t="s">
        <v>165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31.5" hidden="false" customHeight="true" outlineLevel="0" collapsed="false">
      <c r="A4" s="7" t="s">
        <v>166</v>
      </c>
      <c r="B4" s="23" t="s">
        <v>167</v>
      </c>
      <c r="C4" s="23" t="s">
        <v>168</v>
      </c>
      <c r="D4" s="23" t="s">
        <v>169</v>
      </c>
      <c r="E4" s="23" t="s">
        <v>170</v>
      </c>
      <c r="F4" s="23" t="s">
        <v>171</v>
      </c>
      <c r="G4" s="23" t="s">
        <v>172</v>
      </c>
      <c r="H4" s="7" t="s">
        <v>173</v>
      </c>
    </row>
    <row r="5" customFormat="false" ht="15" hidden="false" customHeight="true" outlineLevel="0" collapsed="false">
      <c r="A5" s="3" t="s">
        <v>174</v>
      </c>
      <c r="B5" s="24" t="n">
        <v>21000</v>
      </c>
      <c r="C5" s="24" t="n">
        <v>15500</v>
      </c>
      <c r="D5" s="24" t="n">
        <v>17000</v>
      </c>
      <c r="E5" s="24" t="n">
        <v>23000</v>
      </c>
      <c r="F5" s="24" t="n">
        <v>26000</v>
      </c>
      <c r="G5" s="24" t="n">
        <v>9000</v>
      </c>
      <c r="H5" s="4" t="s">
        <v>175</v>
      </c>
    </row>
    <row r="6" customFormat="false" ht="15" hidden="false" customHeight="true" outlineLevel="0" collapsed="false">
      <c r="A6" s="3" t="s">
        <v>67</v>
      </c>
      <c r="B6" s="25" t="n">
        <f aca="false">B5*Assumptions!$B$12</f>
        <v>1890</v>
      </c>
      <c r="C6" s="25" t="n">
        <f aca="false">C5*Assumptions!$B$12</f>
        <v>1395</v>
      </c>
      <c r="D6" s="25" t="n">
        <f aca="false">D5*Assumptions!$B$12</f>
        <v>1530</v>
      </c>
      <c r="E6" s="25" t="n">
        <f aca="false">E5*Assumptions!$B$12</f>
        <v>2070</v>
      </c>
      <c r="F6" s="25" t="n">
        <f aca="false">F5*Assumptions!$B$12</f>
        <v>2340</v>
      </c>
      <c r="G6" s="25" t="n">
        <f aca="false">G5*Assumptions!$B$12</f>
        <v>810</v>
      </c>
      <c r="H6" s="3"/>
    </row>
    <row r="7" customFormat="false" ht="15" hidden="false" customHeight="true" outlineLevel="0" collapsed="false">
      <c r="A7" s="5" t="s">
        <v>176</v>
      </c>
      <c r="B7" s="26" t="n">
        <f aca="false">B5+B6</f>
        <v>22890</v>
      </c>
      <c r="C7" s="26" t="n">
        <f aca="false">C5+C6</f>
        <v>16895</v>
      </c>
      <c r="D7" s="26" t="n">
        <f aca="false">D5+D6</f>
        <v>18530</v>
      </c>
      <c r="E7" s="26" t="n">
        <f aca="false">E5+E6</f>
        <v>25070</v>
      </c>
      <c r="F7" s="26" t="n">
        <f aca="false">F5+F6</f>
        <v>28340</v>
      </c>
      <c r="G7" s="26" t="n">
        <f aca="false">G5+G6</f>
        <v>9810</v>
      </c>
      <c r="H7" s="3"/>
    </row>
    <row r="8" customFormat="false" ht="15" hidden="false" customHeight="true" outlineLevel="0" collapsed="false">
      <c r="A8" s="3" t="s">
        <v>177</v>
      </c>
      <c r="B8" s="25" t="n">
        <f aca="false">B7</f>
        <v>22890</v>
      </c>
      <c r="C8" s="25" t="n">
        <f aca="false">C7</f>
        <v>16895</v>
      </c>
      <c r="D8" s="25" t="n">
        <f aca="false">D7</f>
        <v>18530</v>
      </c>
      <c r="E8" s="25" t="n">
        <f aca="false">E7</f>
        <v>25070</v>
      </c>
      <c r="F8" s="25" t="n">
        <f aca="false">F7</f>
        <v>28340</v>
      </c>
      <c r="G8" s="27" t="n">
        <f aca="false">G7</f>
        <v>9810</v>
      </c>
      <c r="H8" s="4" t="s">
        <v>178</v>
      </c>
    </row>
    <row r="9" customFormat="false" ht="15" hidden="false" customHeight="true" outlineLevel="0" collapsed="false">
      <c r="A9" s="3" t="s">
        <v>179</v>
      </c>
      <c r="B9" s="25" t="n">
        <f aca="false">B8*Assumptions!$B$6</f>
        <v>4578</v>
      </c>
      <c r="C9" s="25" t="n">
        <f aca="false">C8*Assumptions!$B$6</f>
        <v>3379</v>
      </c>
      <c r="D9" s="25" t="n">
        <f aca="false">D8*Assumptions!$B$6</f>
        <v>3706</v>
      </c>
      <c r="E9" s="25" t="n">
        <f aca="false">E8*Assumptions!$B$6</f>
        <v>5014</v>
      </c>
      <c r="F9" s="25" t="n">
        <f aca="false">F8*Assumptions!$B$6</f>
        <v>5668</v>
      </c>
      <c r="G9" s="25" t="n">
        <f aca="false">G8*Assumptions!$B$6</f>
        <v>1962</v>
      </c>
      <c r="H9" s="3"/>
    </row>
    <row r="10" customFormat="false" ht="15" hidden="false" customHeight="true" outlineLevel="0" collapsed="false">
      <c r="A10" s="3" t="s">
        <v>57</v>
      </c>
      <c r="B10" s="25" t="n">
        <f aca="false">B8*Assumptions!$B$7</f>
        <v>228.9</v>
      </c>
      <c r="C10" s="25" t="n">
        <f aca="false">C8*Assumptions!$B$7</f>
        <v>168.95</v>
      </c>
      <c r="D10" s="25" t="n">
        <f aca="false">D8*Assumptions!$B$7</f>
        <v>185.3</v>
      </c>
      <c r="E10" s="25" t="n">
        <f aca="false">E8*Assumptions!$B$7</f>
        <v>250.7</v>
      </c>
      <c r="F10" s="25" t="n">
        <f aca="false">F8*Assumptions!$B$7</f>
        <v>283.4</v>
      </c>
      <c r="G10" s="25" t="n">
        <f aca="false">G8*Assumptions!$B$7</f>
        <v>98.1</v>
      </c>
      <c r="H10" s="4" t="s">
        <v>180</v>
      </c>
    </row>
    <row r="11" customFormat="false" ht="15" hidden="false" customHeight="true" outlineLevel="0" collapsed="false">
      <c r="A11" s="3" t="s">
        <v>59</v>
      </c>
      <c r="B11" s="25" t="n">
        <f aca="false">B8*Assumptions!$B$8</f>
        <v>228.9</v>
      </c>
      <c r="C11" s="25" t="n">
        <f aca="false">C8*Assumptions!$B$8</f>
        <v>168.95</v>
      </c>
      <c r="D11" s="25" t="n">
        <f aca="false">D8*Assumptions!$B$8</f>
        <v>185.3</v>
      </c>
      <c r="E11" s="25" t="n">
        <f aca="false">E8*Assumptions!$B$8</f>
        <v>250.7</v>
      </c>
      <c r="F11" s="25" t="n">
        <f aca="false">F8*Assumptions!$B$8</f>
        <v>283.4</v>
      </c>
      <c r="G11" s="25" t="n">
        <f aca="false">G8*Assumptions!$B$8</f>
        <v>98.1</v>
      </c>
      <c r="H11" s="3"/>
    </row>
    <row r="12" customFormat="false" ht="15" hidden="false" customHeight="true" outlineLevel="0" collapsed="false">
      <c r="A12" s="3" t="s">
        <v>61</v>
      </c>
      <c r="B12" s="25" t="n">
        <f aca="false">B8*Assumptions!$B$9</f>
        <v>572.25</v>
      </c>
      <c r="C12" s="25" t="n">
        <f aca="false">C8*Assumptions!$B$9</f>
        <v>422.375</v>
      </c>
      <c r="D12" s="25" t="n">
        <f aca="false">D8*Assumptions!$B$9</f>
        <v>463.25</v>
      </c>
      <c r="E12" s="25" t="n">
        <f aca="false">E8*Assumptions!$B$9</f>
        <v>626.75</v>
      </c>
      <c r="F12" s="25" t="n">
        <f aca="false">F8*Assumptions!$B$9</f>
        <v>708.5</v>
      </c>
      <c r="G12" s="25" t="n">
        <f aca="false">G8*Assumptions!$B$9</f>
        <v>245.25</v>
      </c>
      <c r="H12" s="4" t="s">
        <v>181</v>
      </c>
    </row>
    <row r="13" customFormat="false" ht="15" hidden="false" customHeight="true" outlineLevel="0" collapsed="false">
      <c r="A13" s="3" t="s">
        <v>63</v>
      </c>
      <c r="B13" s="25" t="n">
        <f aca="false">(B8+B9)*Assumptions!$B$10</f>
        <v>4394.88</v>
      </c>
      <c r="C13" s="25" t="n">
        <f aca="false">(C8+C9)*Assumptions!$B$10</f>
        <v>3243.84</v>
      </c>
      <c r="D13" s="25" t="n">
        <f aca="false">(D8+D9)*Assumptions!$B$10</f>
        <v>3557.76</v>
      </c>
      <c r="E13" s="25" t="n">
        <f aca="false">(E8+E9)*Assumptions!$B$10</f>
        <v>4813.44</v>
      </c>
      <c r="F13" s="25" t="n">
        <f aca="false">(F8+F9)*Assumptions!$B$10</f>
        <v>5441.28</v>
      </c>
      <c r="G13" s="25" t="n">
        <f aca="false">(G8+G9)*Assumptions!$B$10</f>
        <v>1883.52</v>
      </c>
      <c r="H13" s="4" t="s">
        <v>182</v>
      </c>
    </row>
    <row r="14" customFormat="false" ht="15" hidden="false" customHeight="true" outlineLevel="0" collapsed="false">
      <c r="A14" s="5" t="s">
        <v>183</v>
      </c>
      <c r="B14" s="26" t="n">
        <f aca="false">SUM(B9:B13)</f>
        <v>10002.93</v>
      </c>
      <c r="C14" s="26" t="n">
        <f aca="false">SUM(C9:C13)</f>
        <v>7383.115</v>
      </c>
      <c r="D14" s="26" t="n">
        <f aca="false">SUM(D9:D13)</f>
        <v>8097.61</v>
      </c>
      <c r="E14" s="26" t="n">
        <f aca="false">SUM(E9:E13)</f>
        <v>10955.59</v>
      </c>
      <c r="F14" s="26" t="n">
        <f aca="false">SUM(F9:F13)</f>
        <v>12384.58</v>
      </c>
      <c r="G14" s="26" t="n">
        <f aca="false">SUM(G9:G13)</f>
        <v>4286.97</v>
      </c>
      <c r="H14" s="3"/>
    </row>
    <row r="15" customFormat="false" ht="15" hidden="false" customHeight="true" outlineLevel="0" collapsed="false">
      <c r="A15" s="5" t="s">
        <v>184</v>
      </c>
      <c r="B15" s="28" t="n">
        <f aca="false">IFERROR(B14/B7,0)</f>
        <v>0.437</v>
      </c>
      <c r="C15" s="28" t="n">
        <f aca="false">IFERROR(C14/C7,0)</f>
        <v>0.437</v>
      </c>
      <c r="D15" s="28" t="n">
        <f aca="false">IFERROR(D14/D7,0)</f>
        <v>0.437</v>
      </c>
      <c r="E15" s="28" t="n">
        <f aca="false">IFERROR(E14/E7,0)</f>
        <v>0.437</v>
      </c>
      <c r="F15" s="28" t="n">
        <f aca="false">IFERROR(F14/F7,0)</f>
        <v>0.437</v>
      </c>
      <c r="G15" s="28" t="n">
        <f aca="false">IFERROR(G14/G7,0)</f>
        <v>0.437</v>
      </c>
      <c r="H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5" hidden="false" customHeight="true" outlineLevel="0" collapsed="false">
      <c r="A17" s="3" t="s">
        <v>185</v>
      </c>
      <c r="B17" s="25" t="n">
        <f aca="false">Assumptions!$B$13</f>
        <v>450</v>
      </c>
      <c r="C17" s="25" t="n">
        <f aca="false">Assumptions!$B$13</f>
        <v>450</v>
      </c>
      <c r="D17" s="25" t="n">
        <f aca="false">Assumptions!$B$13</f>
        <v>450</v>
      </c>
      <c r="E17" s="25" t="n">
        <f aca="false">Assumptions!$B$13</f>
        <v>450</v>
      </c>
      <c r="F17" s="25" t="n">
        <f aca="false">Assumptions!$B$13</f>
        <v>450</v>
      </c>
      <c r="G17" s="25" t="n">
        <f aca="false">Assumptions!$B$13</f>
        <v>450</v>
      </c>
      <c r="H17" s="3"/>
    </row>
    <row r="18" customFormat="false" ht="15" hidden="false" customHeight="true" outlineLevel="0" collapsed="false">
      <c r="A18" s="3" t="s">
        <v>186</v>
      </c>
      <c r="B18" s="25" t="n">
        <f aca="false">Assumptions!$B$14</f>
        <v>350</v>
      </c>
      <c r="C18" s="25" t="n">
        <f aca="false">Assumptions!$B$14</f>
        <v>350</v>
      </c>
      <c r="D18" s="25" t="n">
        <f aca="false">Assumptions!$B$14</f>
        <v>350</v>
      </c>
      <c r="E18" s="25" t="n">
        <f aca="false">Assumptions!$B$14</f>
        <v>350</v>
      </c>
      <c r="F18" s="25" t="n">
        <f aca="false">Assumptions!$B$14</f>
        <v>350</v>
      </c>
      <c r="G18" s="25" t="n">
        <f aca="false">Assumptions!$B$14</f>
        <v>350</v>
      </c>
      <c r="H18" s="3"/>
    </row>
    <row r="19" customFormat="false" ht="15" hidden="false" customHeight="true" outlineLevel="0" collapsed="false">
      <c r="A19" s="3" t="s">
        <v>187</v>
      </c>
      <c r="B19" s="25" t="n">
        <f aca="false">Assumptions!$B$15</f>
        <v>9</v>
      </c>
      <c r="C19" s="25" t="n">
        <f aca="false">Assumptions!$B$15</f>
        <v>9</v>
      </c>
      <c r="D19" s="25" t="n">
        <f aca="false">Assumptions!$B$15</f>
        <v>9</v>
      </c>
      <c r="E19" s="25" t="n">
        <f aca="false">Assumptions!$B$15</f>
        <v>9</v>
      </c>
      <c r="F19" s="25" t="n">
        <f aca="false">Assumptions!$B$15</f>
        <v>9</v>
      </c>
      <c r="G19" s="25" t="n">
        <f aca="false">Assumptions!$B$15</f>
        <v>9</v>
      </c>
      <c r="H19" s="3"/>
    </row>
    <row r="20" customFormat="false" ht="15" hidden="false" customHeight="true" outlineLevel="0" collapsed="false">
      <c r="A20" s="3" t="s">
        <v>188</v>
      </c>
      <c r="B20" s="25" t="n">
        <f aca="false">Assumptions!$B$16</f>
        <v>150</v>
      </c>
      <c r="C20" s="25" t="n">
        <f aca="false">Assumptions!$B$16</f>
        <v>150</v>
      </c>
      <c r="D20" s="25" t="n">
        <f aca="false">Assumptions!$B$16</f>
        <v>150</v>
      </c>
      <c r="E20" s="25" t="n">
        <f aca="false">Assumptions!$B$16</f>
        <v>150</v>
      </c>
      <c r="F20" s="25" t="n">
        <f aca="false">Assumptions!$B$16</f>
        <v>150</v>
      </c>
      <c r="G20" s="25" t="n">
        <f aca="false">Assumptions!$B$16</f>
        <v>150</v>
      </c>
      <c r="H20" s="3"/>
    </row>
    <row r="21" customFormat="false" ht="15" hidden="false" customHeight="true" outlineLevel="0" collapsed="false">
      <c r="A21" s="3" t="s">
        <v>189</v>
      </c>
      <c r="B21" s="25" t="n">
        <f aca="false">Assumptions!$B$17</f>
        <v>300</v>
      </c>
      <c r="C21" s="25" t="n">
        <f aca="false">Assumptions!$B$17</f>
        <v>300</v>
      </c>
      <c r="D21" s="25" t="n">
        <f aca="false">Assumptions!$B$17</f>
        <v>300</v>
      </c>
      <c r="E21" s="25" t="n">
        <f aca="false">Assumptions!$B$17</f>
        <v>300</v>
      </c>
      <c r="F21" s="25" t="n">
        <f aca="false">Assumptions!$B$17</f>
        <v>300</v>
      </c>
      <c r="G21" s="25" t="n">
        <f aca="false">Assumptions!$B$17</f>
        <v>300</v>
      </c>
      <c r="H21" s="3"/>
    </row>
    <row r="22" customFormat="false" ht="15" hidden="false" customHeight="true" outlineLevel="0" collapsed="false">
      <c r="A22" s="3" t="s">
        <v>80</v>
      </c>
      <c r="B22" s="25" t="n">
        <f aca="false">Assumptions!$B$18</f>
        <v>60</v>
      </c>
      <c r="C22" s="25" t="n">
        <f aca="false">Assumptions!$B$18</f>
        <v>60</v>
      </c>
      <c r="D22" s="25" t="n">
        <f aca="false">Assumptions!$B$18</f>
        <v>60</v>
      </c>
      <c r="E22" s="25" t="n">
        <f aca="false">Assumptions!$B$18</f>
        <v>60</v>
      </c>
      <c r="F22" s="25" t="n">
        <f aca="false">Assumptions!$B$18</f>
        <v>60</v>
      </c>
      <c r="G22" s="25" t="n">
        <f aca="false">Assumptions!$B$18</f>
        <v>60</v>
      </c>
      <c r="H22" s="3"/>
    </row>
    <row r="23" customFormat="false" ht="15" hidden="false" customHeight="true" outlineLevel="0" collapsed="false">
      <c r="A23" s="3" t="s">
        <v>83</v>
      </c>
      <c r="B23" s="25" t="n">
        <f aca="false">Assumptions!$B$20</f>
        <v>200</v>
      </c>
      <c r="C23" s="25" t="n">
        <f aca="false">Assumptions!$B$20</f>
        <v>200</v>
      </c>
      <c r="D23" s="25" t="n">
        <f aca="false">Assumptions!$B$20</f>
        <v>200</v>
      </c>
      <c r="E23" s="25" t="n">
        <f aca="false">Assumptions!$B$20</f>
        <v>200</v>
      </c>
      <c r="F23" s="25" t="n">
        <f aca="false">Assumptions!$B$20</f>
        <v>200</v>
      </c>
      <c r="G23" s="25" t="n">
        <f aca="false">Assumptions!$B$20</f>
        <v>200</v>
      </c>
      <c r="H23" s="3"/>
    </row>
    <row r="24" customFormat="false" ht="15" hidden="false" customHeight="true" outlineLevel="0" collapsed="false">
      <c r="A24" s="5" t="s">
        <v>190</v>
      </c>
      <c r="B24" s="26" t="n">
        <f aca="false">SUM(B17:B23)</f>
        <v>1519</v>
      </c>
      <c r="C24" s="26" t="n">
        <f aca="false">SUM(C17:C23)</f>
        <v>1519</v>
      </c>
      <c r="D24" s="26" t="n">
        <f aca="false">SUM(D17:D23)</f>
        <v>1519</v>
      </c>
      <c r="E24" s="26" t="n">
        <f aca="false">SUM(E17:E23)</f>
        <v>1519</v>
      </c>
      <c r="F24" s="26" t="n">
        <f aca="false">SUM(F17:F23)</f>
        <v>1519</v>
      </c>
      <c r="G24" s="26" t="n">
        <f aca="false">SUM(G17:G23)</f>
        <v>1519</v>
      </c>
      <c r="H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5" hidden="false" customHeight="true" outlineLevel="0" collapsed="false">
      <c r="A26" s="5" t="s">
        <v>191</v>
      </c>
      <c r="B26" s="26" t="n">
        <f aca="false">B7+B14+B24</f>
        <v>34411.93</v>
      </c>
      <c r="C26" s="26" t="n">
        <f aca="false">C7+C14+C24</f>
        <v>25797.115</v>
      </c>
      <c r="D26" s="26" t="n">
        <f aca="false">D7+D14+D24</f>
        <v>28146.61</v>
      </c>
      <c r="E26" s="26" t="n">
        <f aca="false">E7+E14+E24</f>
        <v>37544.59</v>
      </c>
      <c r="F26" s="26" t="n">
        <f aca="false">F7+F14+F24</f>
        <v>42243.58</v>
      </c>
      <c r="G26" s="26" t="n">
        <f aca="false">G7+G14+G24</f>
        <v>15615.97</v>
      </c>
      <c r="H26" s="3"/>
    </row>
    <row r="27" customFormat="false" ht="15" hidden="false" customHeight="true" outlineLevel="0" collapsed="false">
      <c r="A27" s="5" t="s">
        <v>192</v>
      </c>
      <c r="B27" s="28" t="n">
        <f aca="false">IFERROR(B26/B5-1,0)</f>
        <v>0.638663333333333</v>
      </c>
      <c r="C27" s="28" t="n">
        <f aca="false">IFERROR(C26/C5-1,0)</f>
        <v>0.66433</v>
      </c>
      <c r="D27" s="28" t="n">
        <f aca="false">IFERROR(D26/D5-1,0)</f>
        <v>0.655682941176471</v>
      </c>
      <c r="E27" s="28" t="n">
        <f aca="false">IFERROR(E26/E5-1,0)</f>
        <v>0.632373478260869</v>
      </c>
      <c r="F27" s="28" t="n">
        <f aca="false">IFERROR(F26/F5-1,0)</f>
        <v>0.624753076923077</v>
      </c>
      <c r="G27" s="28" t="n">
        <f aca="false">IFERROR(G26/G5-1,0)</f>
        <v>0.735107777777778</v>
      </c>
      <c r="H27" s="3"/>
    </row>
    <row r="28" customFormat="false" ht="15" hidden="false" customHeight="true" outlineLevel="0" collapsed="false">
      <c r="A28" s="3" t="s">
        <v>193</v>
      </c>
      <c r="B28" s="25" t="n">
        <f aca="false">B26*Assumptions!$B$29*Assumptions!$B$30/365</f>
        <v>1357.62134794521</v>
      </c>
      <c r="C28" s="25" t="n">
        <f aca="false">C26*Assumptions!$B$29*Assumptions!$B$30/365</f>
        <v>1017.74919452055</v>
      </c>
      <c r="D28" s="25" t="n">
        <f aca="false">D26*Assumptions!$B$29*Assumptions!$B$30/365</f>
        <v>1110.4416</v>
      </c>
      <c r="E28" s="25" t="n">
        <f aca="false">E26*Assumptions!$B$29*Assumptions!$B$30/365</f>
        <v>1481.21122191781</v>
      </c>
      <c r="F28" s="25" t="n">
        <f aca="false">F26*Assumptions!$B$29*Assumptions!$B$30/365</f>
        <v>1666.59603287671</v>
      </c>
      <c r="G28" s="25" t="n">
        <f aca="false">G26*Assumptions!$B$29*Assumptions!$B$30/365</f>
        <v>616.082104109589</v>
      </c>
      <c r="H28" s="4" t="s">
        <v>194</v>
      </c>
    </row>
    <row r="29" customFormat="false" ht="15" hidden="false" customHeight="true" outlineLevel="0" collapsed="false">
      <c r="A29" s="5" t="s">
        <v>195</v>
      </c>
      <c r="B29" s="26" t="n">
        <f aca="false">B26+B28</f>
        <v>35769.5513479452</v>
      </c>
      <c r="C29" s="26" t="n">
        <f aca="false">C26+C28</f>
        <v>26814.8641945205</v>
      </c>
      <c r="D29" s="26" t="n">
        <f aca="false">D26+D28</f>
        <v>29257.0516</v>
      </c>
      <c r="E29" s="26" t="n">
        <f aca="false">E26+E28</f>
        <v>39025.8012219178</v>
      </c>
      <c r="F29" s="26" t="n">
        <f aca="false">F26+F28</f>
        <v>43910.1760328767</v>
      </c>
      <c r="G29" s="26" t="n">
        <f aca="false">G26+G28</f>
        <v>16232.0521041096</v>
      </c>
      <c r="H29" s="3"/>
    </row>
    <row r="30" customFormat="false" ht="15" hidden="false" customHeight="true" outlineLevel="0" collapsed="false">
      <c r="A30" s="3" t="s">
        <v>196</v>
      </c>
      <c r="B30" s="25" t="n">
        <f aca="false">B29*Assumptions!$B$22</f>
        <v>6438.51924263014</v>
      </c>
      <c r="C30" s="25" t="n">
        <f aca="false">C29*Assumptions!$B$22</f>
        <v>4826.6755550137</v>
      </c>
      <c r="D30" s="25" t="n">
        <f aca="false">D29*Assumptions!$B$22</f>
        <v>5266.269288</v>
      </c>
      <c r="E30" s="25" t="n">
        <f aca="false">E29*Assumptions!$B$22</f>
        <v>7024.64421994521</v>
      </c>
      <c r="F30" s="25" t="n">
        <f aca="false">F29*Assumptions!$B$22</f>
        <v>7903.83168591781</v>
      </c>
      <c r="G30" s="25" t="n">
        <f aca="false">G29*Assumptions!$B$22</f>
        <v>2921.76937873973</v>
      </c>
      <c r="H30" s="3"/>
    </row>
    <row r="31" customFormat="false" ht="15" hidden="false" customHeight="true" outlineLevel="0" collapsed="false">
      <c r="A31" s="5" t="s">
        <v>197</v>
      </c>
      <c r="B31" s="26" t="n">
        <f aca="false">B29+B30</f>
        <v>42208.0705905753</v>
      </c>
      <c r="C31" s="26" t="n">
        <f aca="false">C29+C30</f>
        <v>31641.5397495342</v>
      </c>
      <c r="D31" s="26" t="n">
        <f aca="false">D29+D30</f>
        <v>34523.320888</v>
      </c>
      <c r="E31" s="26" t="n">
        <f aca="false">E29+E30</f>
        <v>46050.445441863</v>
      </c>
      <c r="F31" s="26" t="n">
        <f aca="false">F29+F30</f>
        <v>51814.0077187945</v>
      </c>
      <c r="G31" s="26" t="n">
        <f aca="false">G29+G30</f>
        <v>19153.8214828493</v>
      </c>
      <c r="H31" s="3"/>
    </row>
    <row r="32" customFormat="false" ht="15" hidden="false" customHeight="true" outlineLevel="0" collapsed="false">
      <c r="A32" s="5" t="s">
        <v>198</v>
      </c>
      <c r="B32" s="29" t="n">
        <f aca="false">B31*Assumptions!$B$23</f>
        <v>1688322.82362301</v>
      </c>
      <c r="C32" s="29" t="n">
        <f aca="false">C31*Assumptions!$B$23</f>
        <v>1265661.58998137</v>
      </c>
      <c r="D32" s="29" t="n">
        <f aca="false">D31*Assumptions!$B$23</f>
        <v>1380932.83552</v>
      </c>
      <c r="E32" s="29" t="n">
        <f aca="false">E31*Assumptions!$B$23</f>
        <v>1842017.81767452</v>
      </c>
      <c r="F32" s="29" t="n">
        <f aca="false">F31*Assumptions!$B$23</f>
        <v>2072560.30875178</v>
      </c>
      <c r="G32" s="29" t="n">
        <f aca="false">G31*Assumptions!$B$23</f>
        <v>766152.859313973</v>
      </c>
      <c r="H32" s="3"/>
    </row>
    <row r="33" customFormat="false" ht="15" hidden="false" customHeight="true" outlineLevel="0" collapsed="false">
      <c r="A33" s="3" t="s">
        <v>199</v>
      </c>
      <c r="B33" s="25" t="n">
        <f aca="false">Assumptions!$B$19</f>
        <v>500</v>
      </c>
      <c r="C33" s="25" t="n">
        <f aca="false">Assumptions!$B$19</f>
        <v>500</v>
      </c>
      <c r="D33" s="25" t="n">
        <f aca="false">Assumptions!$B$19</f>
        <v>500</v>
      </c>
      <c r="E33" s="25" t="n">
        <f aca="false">Assumptions!$B$19</f>
        <v>500</v>
      </c>
      <c r="F33" s="25" t="n">
        <f aca="false">Assumptions!$B$19</f>
        <v>500</v>
      </c>
      <c r="G33" s="25" t="n">
        <f aca="false">Assumptions!$B$19</f>
        <v>500</v>
      </c>
      <c r="H33" s="4" t="s">
        <v>200</v>
      </c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5" hidden="false" customHeight="true" outlineLevel="0" collapsed="false">
      <c r="A35" s="6" t="s">
        <v>201</v>
      </c>
      <c r="B35" s="3"/>
      <c r="C35" s="3"/>
      <c r="D35" s="3"/>
      <c r="E35" s="3"/>
      <c r="F35" s="3"/>
      <c r="G35" s="3"/>
      <c r="H35" s="3"/>
    </row>
    <row r="36" customFormat="false" ht="15" hidden="false" customHeight="true" outlineLevel="0" collapsed="false">
      <c r="A36" s="4" t="s">
        <v>202</v>
      </c>
      <c r="B36" s="3"/>
      <c r="C36" s="3"/>
      <c r="D36" s="3"/>
      <c r="E36" s="3"/>
      <c r="F36" s="3"/>
      <c r="G36" s="3"/>
      <c r="H3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3" min="2" style="1" width="18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203</v>
      </c>
      <c r="B1" s="3"/>
      <c r="C1" s="3"/>
      <c r="D1" s="3"/>
    </row>
    <row r="2" customFormat="false" ht="15" hidden="false" customHeight="true" outlineLevel="0" collapsed="false">
      <c r="A2" s="4" t="s">
        <v>204</v>
      </c>
      <c r="B2" s="3"/>
      <c r="C2" s="3"/>
      <c r="D2" s="3"/>
    </row>
    <row r="3" customFormat="false" ht="15" hidden="false" customHeight="true" outlineLevel="0" collapsed="false">
      <c r="A3" s="3"/>
      <c r="B3" s="3"/>
      <c r="C3" s="3"/>
      <c r="D3" s="3"/>
    </row>
    <row r="4" customFormat="false" ht="15" hidden="false" customHeight="true" outlineLevel="0" collapsed="false">
      <c r="A4" s="7" t="s">
        <v>205</v>
      </c>
      <c r="B4" s="7" t="s">
        <v>206</v>
      </c>
      <c r="C4" s="7" t="s">
        <v>207</v>
      </c>
      <c r="D4" s="7" t="s">
        <v>173</v>
      </c>
    </row>
    <row r="5" customFormat="false" ht="15" hidden="false" customHeight="true" outlineLevel="0" collapsed="false">
      <c r="A5" s="5" t="s">
        <v>208</v>
      </c>
      <c r="B5" s="30" t="n">
        <f aca="false">Assumptions!$B$25</f>
        <v>10</v>
      </c>
      <c r="C5" s="30" t="n">
        <f aca="false">Assumptions!$B$26</f>
        <v>25</v>
      </c>
      <c r="D5" s="3"/>
    </row>
    <row r="6" customFormat="false" ht="15" hidden="false" customHeight="true" outlineLevel="0" collapsed="false">
      <c r="A6" s="3" t="s">
        <v>209</v>
      </c>
      <c r="B6" s="31" t="n">
        <f aca="false">Assumptions!$B$28</f>
        <v>2</v>
      </c>
      <c r="C6" s="31" t="n">
        <f aca="false">Assumptions!$B$28</f>
        <v>2</v>
      </c>
      <c r="D6" s="4" t="s">
        <v>210</v>
      </c>
    </row>
    <row r="7" customFormat="false" ht="15" hidden="false" customHeight="true" outlineLevel="0" collapsed="false">
      <c r="A7" s="5" t="s">
        <v>211</v>
      </c>
      <c r="B7" s="30" t="n">
        <f aca="false">B5-B6</f>
        <v>8</v>
      </c>
      <c r="C7" s="30" t="n">
        <f aca="false">C5-C6</f>
        <v>23</v>
      </c>
      <c r="D7" s="3"/>
    </row>
    <row r="8" customFormat="false" ht="15" hidden="false" customHeight="true" outlineLevel="0" collapsed="false">
      <c r="A8" s="3" t="s">
        <v>212</v>
      </c>
      <c r="B8" s="32" t="n">
        <f aca="false">Assumptions!$B$27</f>
        <v>0.7</v>
      </c>
      <c r="C8" s="32" t="n">
        <f aca="false">Assumptions!$B$27</f>
        <v>0.7</v>
      </c>
      <c r="D8" s="3"/>
    </row>
    <row r="9" customFormat="false" ht="15" hidden="false" customHeight="true" outlineLevel="0" collapsed="false">
      <c r="A9" s="5" t="s">
        <v>213</v>
      </c>
      <c r="B9" s="30" t="n">
        <f aca="false">ROUNDUP(B7*B8,0)</f>
        <v>6</v>
      </c>
      <c r="C9" s="30" t="n">
        <f aca="false">ROUNDUP(C7*C8,0)</f>
        <v>17</v>
      </c>
      <c r="D9" s="4" t="s">
        <v>214</v>
      </c>
    </row>
    <row r="10" customFormat="false" ht="15" hidden="false" customHeight="true" outlineLevel="0" collapsed="false">
      <c r="A10" s="3"/>
      <c r="B10" s="3"/>
      <c r="C10" s="3"/>
      <c r="D10" s="3"/>
    </row>
    <row r="11" customFormat="false" ht="15" hidden="false" customHeight="true" outlineLevel="0" collapsed="false">
      <c r="A11" s="3" t="s">
        <v>215</v>
      </c>
      <c r="B11" s="25" t="n">
        <f aca="false">'Landed Cost'!B29</f>
        <v>35769.5513479452</v>
      </c>
      <c r="C11" s="25" t="n">
        <f aca="false">'Landed Cost'!B29</f>
        <v>35769.5513479452</v>
      </c>
      <c r="D11" s="3"/>
    </row>
    <row r="12" customFormat="false" ht="15" hidden="false" customHeight="true" outlineLevel="0" collapsed="false">
      <c r="A12" s="3" t="s">
        <v>216</v>
      </c>
      <c r="B12" s="25" t="n">
        <f aca="false">'Landed Cost'!B31</f>
        <v>42208.0705905753</v>
      </c>
      <c r="C12" s="25" t="n">
        <f aca="false">'Landed Cost'!B31</f>
        <v>42208.0705905753</v>
      </c>
      <c r="D12" s="3"/>
    </row>
    <row r="13" customFormat="false" ht="15" hidden="false" customHeight="true" outlineLevel="0" collapsed="false">
      <c r="A13" s="3" t="s">
        <v>217</v>
      </c>
      <c r="B13" s="25" t="n">
        <f aca="false">B12-B11</f>
        <v>6438.51924263014</v>
      </c>
      <c r="C13" s="25" t="n">
        <f aca="false">C12-C11</f>
        <v>6438.51924263014</v>
      </c>
      <c r="D13" s="3"/>
    </row>
    <row r="14" customFormat="false" ht="15" hidden="false" customHeight="true" outlineLevel="0" collapsed="false">
      <c r="A14" s="3"/>
      <c r="B14" s="3"/>
      <c r="C14" s="3"/>
      <c r="D14" s="3"/>
    </row>
    <row r="15" customFormat="false" ht="15" hidden="false" customHeight="true" outlineLevel="0" collapsed="false">
      <c r="A15" s="5" t="s">
        <v>218</v>
      </c>
      <c r="B15" s="26" t="n">
        <f aca="false">B5*B11</f>
        <v>357695.513479452</v>
      </c>
      <c r="C15" s="26" t="n">
        <f aca="false">C5*C11</f>
        <v>894238.78369863</v>
      </c>
      <c r="D15" s="3"/>
    </row>
    <row r="16" customFormat="false" ht="15" hidden="false" customHeight="true" outlineLevel="0" collapsed="false">
      <c r="A16" s="3" t="s">
        <v>111</v>
      </c>
      <c r="B16" s="25" t="n">
        <f aca="false">Assumptions!$B$32</f>
        <v>45000</v>
      </c>
      <c r="C16" s="25" t="n">
        <f aca="false">Assumptions!$B$32</f>
        <v>45000</v>
      </c>
      <c r="D16" s="3"/>
    </row>
    <row r="17" customFormat="false" ht="15" hidden="false" customHeight="true" outlineLevel="0" collapsed="false">
      <c r="A17" s="3" t="s">
        <v>219</v>
      </c>
      <c r="B17" s="25" t="n">
        <f aca="false">Assumptions!$B$33</f>
        <v>12000</v>
      </c>
      <c r="C17" s="25" t="n">
        <f aca="false">Assumptions!$B$33</f>
        <v>12000</v>
      </c>
      <c r="D17" s="3"/>
    </row>
    <row r="18" customFormat="false" ht="15" hidden="false" customHeight="true" outlineLevel="0" collapsed="false">
      <c r="A18" s="3" t="s">
        <v>116</v>
      </c>
      <c r="B18" s="25" t="n">
        <f aca="false">Assumptions!$B$34</f>
        <v>35000</v>
      </c>
      <c r="C18" s="25" t="n">
        <f aca="false">Assumptions!$B$34</f>
        <v>35000</v>
      </c>
      <c r="D18" s="3"/>
    </row>
    <row r="19" customFormat="false" ht="15" hidden="false" customHeight="true" outlineLevel="0" collapsed="false">
      <c r="A19" s="3" t="s">
        <v>220</v>
      </c>
      <c r="B19" s="25" t="n">
        <f aca="false">Assumptions!$B$35</f>
        <v>30000</v>
      </c>
      <c r="C19" s="25" t="n">
        <f aca="false">Assumptions!$B$35</f>
        <v>30000</v>
      </c>
      <c r="D19" s="3"/>
    </row>
    <row r="20" customFormat="false" ht="15" hidden="false" customHeight="true" outlineLevel="0" collapsed="false">
      <c r="A20" s="3" t="s">
        <v>120</v>
      </c>
      <c r="B20" s="25" t="n">
        <f aca="false">Assumptions!$B$36</f>
        <v>48000</v>
      </c>
      <c r="C20" s="25" t="n">
        <f aca="false">Assumptions!$B$36</f>
        <v>48000</v>
      </c>
      <c r="D20" s="3"/>
    </row>
    <row r="21" customFormat="false" ht="15" hidden="false" customHeight="true" outlineLevel="0" collapsed="false">
      <c r="A21" s="3" t="s">
        <v>122</v>
      </c>
      <c r="B21" s="25" t="n">
        <f aca="false">Assumptions!$B$37</f>
        <v>24000</v>
      </c>
      <c r="C21" s="25" t="n">
        <f aca="false">Assumptions!$B$37</f>
        <v>24000</v>
      </c>
      <c r="D21" s="3"/>
    </row>
    <row r="22" customFormat="false" ht="15" hidden="false" customHeight="true" outlineLevel="0" collapsed="false">
      <c r="A22" s="3" t="s">
        <v>123</v>
      </c>
      <c r="B22" s="25" t="n">
        <f aca="false">Assumptions!$B$38</f>
        <v>20000</v>
      </c>
      <c r="C22" s="25" t="n">
        <f aca="false">Assumptions!$B$38</f>
        <v>20000</v>
      </c>
      <c r="D22" s="3"/>
    </row>
    <row r="23" customFormat="false" ht="15" hidden="false" customHeight="true" outlineLevel="0" collapsed="false">
      <c r="A23" s="3" t="s">
        <v>221</v>
      </c>
      <c r="B23" s="25" t="n">
        <f aca="false">Assumptions!$B$39</f>
        <v>35000</v>
      </c>
      <c r="C23" s="25" t="n">
        <f aca="false">Assumptions!$B$39</f>
        <v>35000</v>
      </c>
      <c r="D23" s="3"/>
    </row>
    <row r="24" customFormat="false" ht="15" hidden="false" customHeight="true" outlineLevel="0" collapsed="false">
      <c r="A24" s="5" t="s">
        <v>222</v>
      </c>
      <c r="B24" s="26" t="n">
        <f aca="false">SUM(B16:B23)</f>
        <v>249000</v>
      </c>
      <c r="C24" s="26" t="n">
        <f aca="false">SUM(C16:C23)</f>
        <v>249000</v>
      </c>
      <c r="D24" s="4" t="s">
        <v>223</v>
      </c>
    </row>
    <row r="25" customFormat="false" ht="15" hidden="false" customHeight="true" outlineLevel="0" collapsed="false">
      <c r="A25" s="5" t="s">
        <v>224</v>
      </c>
      <c r="B25" s="26" t="n">
        <f aca="false">B15+B24</f>
        <v>606695.513479452</v>
      </c>
      <c r="C25" s="26" t="n">
        <f aca="false">C15+C24</f>
        <v>1143238.78369863</v>
      </c>
      <c r="D25" s="3"/>
    </row>
    <row r="26" customFormat="false" ht="15" hidden="false" customHeight="true" outlineLevel="0" collapsed="false">
      <c r="A26" s="3"/>
      <c r="B26" s="3"/>
      <c r="C26" s="3"/>
      <c r="D26" s="3"/>
    </row>
    <row r="27" customFormat="false" ht="15" hidden="false" customHeight="true" outlineLevel="0" collapsed="false">
      <c r="A27" s="3" t="s">
        <v>225</v>
      </c>
      <c r="B27" s="25" t="n">
        <f aca="false">B7*B12</f>
        <v>337664.564724603</v>
      </c>
      <c r="C27" s="25" t="n">
        <f aca="false">C7*C12</f>
        <v>970785.623583233</v>
      </c>
      <c r="D27" s="3"/>
    </row>
    <row r="28" customFormat="false" ht="15" hidden="false" customHeight="true" outlineLevel="0" collapsed="false">
      <c r="A28" s="3" t="s">
        <v>226</v>
      </c>
      <c r="B28" s="25" t="n">
        <f aca="false">B7*B11</f>
        <v>286156.410783562</v>
      </c>
      <c r="C28" s="25" t="n">
        <f aca="false">C7*C11</f>
        <v>822699.68100274</v>
      </c>
      <c r="D28" s="3"/>
    </row>
    <row r="29" customFormat="false" ht="15" hidden="false" customHeight="true" outlineLevel="0" collapsed="false">
      <c r="A29" s="5" t="s">
        <v>227</v>
      </c>
      <c r="B29" s="26" t="n">
        <f aca="false">B27-B28</f>
        <v>51508.1539410411</v>
      </c>
      <c r="C29" s="26" t="n">
        <f aca="false">C27-C28</f>
        <v>148085.942580493</v>
      </c>
      <c r="D29" s="3"/>
    </row>
    <row r="30" customFormat="false" ht="15" hidden="false" customHeight="true" outlineLevel="0" collapsed="false">
      <c r="A30" s="3" t="s">
        <v>228</v>
      </c>
      <c r="B30" s="25" t="n">
        <f aca="false">B7*'Workshop &amp; Parts'!$B$12</f>
        <v>2324.4</v>
      </c>
      <c r="C30" s="25" t="n">
        <f aca="false">C7*'Workshop &amp; Parts'!$B$12</f>
        <v>6682.65</v>
      </c>
      <c r="D30" s="4" t="s">
        <v>229</v>
      </c>
    </row>
    <row r="31" customFormat="false" ht="15" hidden="false" customHeight="true" outlineLevel="0" collapsed="false">
      <c r="A31" s="5" t="s">
        <v>230</v>
      </c>
      <c r="B31" s="26" t="n">
        <f aca="false">B29+B30</f>
        <v>53832.5539410411</v>
      </c>
      <c r="C31" s="26" t="n">
        <f aca="false">C29+C30</f>
        <v>154768.592580493</v>
      </c>
      <c r="D31" s="3"/>
    </row>
    <row r="32" customFormat="false" ht="15" hidden="false" customHeight="true" outlineLevel="0" collapsed="false">
      <c r="A32" s="3" t="s">
        <v>231</v>
      </c>
      <c r="B32" s="25" t="n">
        <f aca="false">B24</f>
        <v>249000</v>
      </c>
      <c r="C32" s="25" t="n">
        <f aca="false">C24</f>
        <v>249000</v>
      </c>
      <c r="D32" s="3"/>
    </row>
    <row r="33" customFormat="false" ht="15" hidden="false" customHeight="true" outlineLevel="0" collapsed="false">
      <c r="A33" s="5" t="s">
        <v>232</v>
      </c>
      <c r="B33" s="26" t="n">
        <f aca="false">B31-B32</f>
        <v>-195167.446058959</v>
      </c>
      <c r="C33" s="26" t="n">
        <f aca="false">C31-C32</f>
        <v>-94231.4074195068</v>
      </c>
      <c r="D33" s="3"/>
    </row>
    <row r="34" customFormat="false" ht="15" hidden="false" customHeight="true" outlineLevel="0" collapsed="false">
      <c r="A34" s="5" t="s">
        <v>233</v>
      </c>
      <c r="B34" s="28" t="n">
        <f aca="false">IFERROR(B33/B25,0)</f>
        <v>-0.321689285189627</v>
      </c>
      <c r="C34" s="28" t="n">
        <f aca="false">IFERROR(C33/C25,0)</f>
        <v>-0.082424956853412</v>
      </c>
      <c r="D34" s="3"/>
    </row>
    <row r="35" customFormat="false" ht="15" hidden="false" customHeight="true" outlineLevel="0" collapsed="false">
      <c r="A35" s="3"/>
      <c r="B35" s="3"/>
      <c r="C35" s="3"/>
      <c r="D35" s="3"/>
    </row>
    <row r="36" customFormat="false" ht="15" hidden="false" customHeight="true" outlineLevel="0" collapsed="false">
      <c r="A36" s="3" t="s">
        <v>234</v>
      </c>
      <c r="B36" s="25" t="n">
        <f aca="false">B6*B11</f>
        <v>71539.1026958904</v>
      </c>
      <c r="C36" s="25" t="n">
        <f aca="false">C6*C11</f>
        <v>71539.1026958904</v>
      </c>
      <c r="D36" s="3"/>
    </row>
    <row r="37" customFormat="false" ht="15" hidden="false" customHeight="true" outlineLevel="0" collapsed="false">
      <c r="A37" s="5" t="s">
        <v>235</v>
      </c>
      <c r="B37" s="30" t="n">
        <f aca="false">IFERROR(ROUNDUP(B24/B13,0),0)</f>
        <v>39</v>
      </c>
      <c r="C37" s="30" t="n">
        <f aca="false">IFERROR(ROUNDUP(C24/C13,0),0)</f>
        <v>39</v>
      </c>
      <c r="D37" s="4" t="s">
        <v>236</v>
      </c>
    </row>
    <row r="38" customFormat="false" ht="15" hidden="false" customHeight="true" outlineLevel="0" collapsed="false">
      <c r="A38" s="3"/>
      <c r="B38" s="3"/>
      <c r="C38" s="3"/>
      <c r="D38" s="3"/>
    </row>
    <row r="39" customFormat="false" ht="15" hidden="false" customHeight="true" outlineLevel="0" collapsed="false">
      <c r="A39" s="6" t="s">
        <v>237</v>
      </c>
      <c r="B39" s="3"/>
      <c r="C39" s="3"/>
      <c r="D39" s="3"/>
    </row>
    <row r="40" customFormat="false" ht="15" hidden="false" customHeight="true" outlineLevel="0" collapsed="false">
      <c r="A40" s="4" t="s">
        <v>238</v>
      </c>
      <c r="B40" s="3"/>
      <c r="C40" s="3"/>
      <c r="D40" s="3"/>
    </row>
    <row r="41" customFormat="false" ht="15" hidden="false" customHeight="true" outlineLevel="0" collapsed="false">
      <c r="A41" s="4" t="s">
        <v>239</v>
      </c>
      <c r="B41" s="3"/>
      <c r="C41" s="3"/>
      <c r="D41" s="3"/>
    </row>
    <row r="42" customFormat="false" ht="15" hidden="false" customHeight="true" outlineLevel="0" collapsed="false">
      <c r="A42" s="4" t="s">
        <v>240</v>
      </c>
      <c r="B42" s="3"/>
      <c r="C42" s="3"/>
      <c r="D4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8"/>
    <col collapsed="false" customWidth="true" hidden="false" outlineLevel="0" max="3" min="3" style="1" width="66"/>
  </cols>
  <sheetData>
    <row r="1" customFormat="false" ht="17.25" hidden="false" customHeight="true" outlineLevel="0" collapsed="false">
      <c r="A1" s="2" t="s">
        <v>241</v>
      </c>
      <c r="B1" s="3"/>
      <c r="C1" s="3"/>
    </row>
    <row r="2" customFormat="false" ht="15" hidden="false" customHeight="true" outlineLevel="0" collapsed="false">
      <c r="A2" s="22" t="s">
        <v>242</v>
      </c>
      <c r="B2" s="3"/>
      <c r="C2" s="3"/>
    </row>
    <row r="3" customFormat="false" ht="15" hidden="false" customHeight="true" outlineLevel="0" collapsed="false">
      <c r="A3" s="3"/>
      <c r="B3" s="3"/>
      <c r="C3" s="3"/>
    </row>
    <row r="4" customFormat="false" ht="15" hidden="false" customHeight="true" outlineLevel="0" collapsed="false">
      <c r="A4" s="7" t="s">
        <v>205</v>
      </c>
      <c r="B4" s="7" t="s">
        <v>49</v>
      </c>
      <c r="C4" s="7" t="s">
        <v>173</v>
      </c>
    </row>
    <row r="5" customFormat="false" ht="15" hidden="false" customHeight="true" outlineLevel="0" collapsed="false">
      <c r="A5" s="5" t="s">
        <v>243</v>
      </c>
      <c r="B5" s="5"/>
      <c r="C5" s="3"/>
    </row>
    <row r="6" customFormat="false" ht="15" hidden="false" customHeight="true" outlineLevel="0" collapsed="false">
      <c r="A6" s="3" t="s">
        <v>244</v>
      </c>
      <c r="B6" s="33" t="n">
        <f aca="false">Assumptions!$B$42</f>
        <v>28</v>
      </c>
      <c r="C6" s="4" t="s">
        <v>245</v>
      </c>
    </row>
    <row r="7" customFormat="false" ht="15" hidden="false" customHeight="true" outlineLevel="0" collapsed="false">
      <c r="A7" s="3" t="s">
        <v>133</v>
      </c>
      <c r="B7" s="31" t="n">
        <f aca="false">Assumptions!$B$43</f>
        <v>26</v>
      </c>
      <c r="C7" s="3"/>
    </row>
    <row r="8" customFormat="false" ht="15" hidden="false" customHeight="true" outlineLevel="0" collapsed="false">
      <c r="A8" s="5" t="s">
        <v>246</v>
      </c>
      <c r="B8" s="26" t="n">
        <f aca="false">B6*B7</f>
        <v>728</v>
      </c>
      <c r="C8" s="3"/>
    </row>
    <row r="9" customFormat="false" ht="15" hidden="false" customHeight="true" outlineLevel="0" collapsed="false">
      <c r="A9" s="3" t="s">
        <v>247</v>
      </c>
      <c r="B9" s="25" t="n">
        <f aca="false">-Assumptions!$B$44*B7</f>
        <v>-234</v>
      </c>
      <c r="C9" s="3"/>
    </row>
    <row r="10" customFormat="false" ht="15" hidden="false" customHeight="true" outlineLevel="0" collapsed="false">
      <c r="A10" s="3" t="s">
        <v>139</v>
      </c>
      <c r="B10" s="25" t="n">
        <f aca="false">-Assumptions!$B$46</f>
        <v>-70</v>
      </c>
      <c r="C10" s="3"/>
    </row>
    <row r="11" customFormat="false" ht="15" hidden="false" customHeight="true" outlineLevel="0" collapsed="false">
      <c r="A11" s="3" t="s">
        <v>136</v>
      </c>
      <c r="B11" s="25" t="n">
        <f aca="false">-Assumptions!$B$45</f>
        <v>-90</v>
      </c>
      <c r="C11" s="4" t="s">
        <v>248</v>
      </c>
    </row>
    <row r="12" customFormat="false" ht="15" hidden="false" customHeight="true" outlineLevel="0" collapsed="false">
      <c r="A12" s="5" t="s">
        <v>249</v>
      </c>
      <c r="B12" s="26" t="n">
        <f aca="false">B8+B9+B10</f>
        <v>424</v>
      </c>
      <c r="C12" s="4" t="s">
        <v>250</v>
      </c>
    </row>
    <row r="13" customFormat="false" ht="15" hidden="false" customHeight="true" outlineLevel="0" collapsed="false">
      <c r="A13" s="3"/>
      <c r="B13" s="3"/>
      <c r="C13" s="3"/>
    </row>
    <row r="14" customFormat="false" ht="15" hidden="false" customHeight="true" outlineLevel="0" collapsed="false">
      <c r="A14" s="5" t="s">
        <v>251</v>
      </c>
      <c r="B14" s="5"/>
      <c r="C14" s="3"/>
    </row>
    <row r="15" customFormat="false" ht="15" hidden="false" customHeight="true" outlineLevel="0" collapsed="false">
      <c r="A15" s="3" t="s">
        <v>252</v>
      </c>
      <c r="B15" s="25" t="n">
        <f aca="false">Assumptions!$B$41</f>
        <v>16000</v>
      </c>
      <c r="C15" s="3"/>
    </row>
    <row r="16" customFormat="false" ht="15" hidden="false" customHeight="true" outlineLevel="0" collapsed="false">
      <c r="A16" s="3" t="s">
        <v>253</v>
      </c>
      <c r="B16" s="32" t="n">
        <f aca="false">Assumptions!$B$48</f>
        <v>0.3</v>
      </c>
      <c r="C16" s="4" t="s">
        <v>254</v>
      </c>
    </row>
    <row r="17" customFormat="false" ht="15" hidden="false" customHeight="true" outlineLevel="0" collapsed="false">
      <c r="A17" s="5" t="s">
        <v>255</v>
      </c>
      <c r="B17" s="26" t="n">
        <f aca="false">B15*(1+B16)</f>
        <v>20800</v>
      </c>
      <c r="C17" s="3"/>
    </row>
    <row r="18" customFormat="false" ht="15" hidden="false" customHeight="true" outlineLevel="0" collapsed="false">
      <c r="A18" s="3" t="s">
        <v>256</v>
      </c>
      <c r="B18" s="31" t="n">
        <f aca="false">Assumptions!$B$47</f>
        <v>36</v>
      </c>
      <c r="C18" s="3"/>
    </row>
    <row r="19" customFormat="false" ht="15" hidden="false" customHeight="true" outlineLevel="0" collapsed="false">
      <c r="A19" s="5" t="s">
        <v>257</v>
      </c>
      <c r="B19" s="26" t="n">
        <f aca="false">IFERROR(B17/B18,0)</f>
        <v>577.777777777778</v>
      </c>
      <c r="C19" s="3"/>
    </row>
    <row r="20" customFormat="false" ht="15" hidden="false" customHeight="true" outlineLevel="0" collapsed="false">
      <c r="A20" s="5" t="s">
        <v>258</v>
      </c>
      <c r="B20" s="28" t="n">
        <f aca="false">IFERROR(B19/B12,0)</f>
        <v>1.36268343815514</v>
      </c>
      <c r="C20" s="3"/>
    </row>
    <row r="21" customFormat="false" ht="15" hidden="false" customHeight="true" outlineLevel="0" collapsed="false">
      <c r="A21" s="3" t="s">
        <v>259</v>
      </c>
      <c r="B21" s="32" t="n">
        <f aca="false">Assumptions!$B$50</f>
        <v>0.45</v>
      </c>
      <c r="C21" s="4" t="s">
        <v>260</v>
      </c>
    </row>
    <row r="22" customFormat="false" ht="15" hidden="false" customHeight="true" outlineLevel="0" collapsed="false">
      <c r="A22" s="5" t="s">
        <v>261</v>
      </c>
      <c r="B22" s="26" t="n">
        <f aca="false">B12*B21</f>
        <v>190.8</v>
      </c>
      <c r="C22" s="3"/>
    </row>
    <row r="23" customFormat="false" ht="15" hidden="false" customHeight="true" outlineLevel="0" collapsed="false">
      <c r="A23" s="5" t="s">
        <v>262</v>
      </c>
      <c r="B23" s="5" t="str">
        <f aca="false">IF(B19&lt;=B22,"PASS","FAIL - restructure or do not launch")</f>
        <v>FAIL - restructure or do not launch</v>
      </c>
      <c r="C23" s="4" t="s">
        <v>263</v>
      </c>
    </row>
    <row r="24" customFormat="false" ht="15" hidden="false" customHeight="true" outlineLevel="0" collapsed="false">
      <c r="A24" s="5" t="s">
        <v>264</v>
      </c>
      <c r="B24" s="26" t="n">
        <f aca="false">B12-B19</f>
        <v>-153.777777777778</v>
      </c>
      <c r="C24" s="3"/>
    </row>
    <row r="25" customFormat="false" ht="15" hidden="false" customHeight="true" outlineLevel="0" collapsed="false">
      <c r="A25" s="3" t="s">
        <v>265</v>
      </c>
      <c r="B25" s="31" t="n">
        <f aca="false">IFERROR(ROUNDUP(B17/B22,0),0)</f>
        <v>110</v>
      </c>
      <c r="C25" s="4" t="s">
        <v>266</v>
      </c>
    </row>
    <row r="26" customFormat="false" ht="15" hidden="false" customHeight="true" outlineLevel="0" collapsed="false">
      <c r="A26" s="3"/>
      <c r="B26" s="3"/>
      <c r="C26" s="3"/>
    </row>
    <row r="27" customFormat="false" ht="15" hidden="false" customHeight="true" outlineLevel="0" collapsed="false">
      <c r="A27" s="5" t="s">
        <v>267</v>
      </c>
      <c r="B27" s="5"/>
      <c r="C27" s="3"/>
    </row>
    <row r="28" customFormat="false" ht="15" hidden="false" customHeight="true" outlineLevel="0" collapsed="false">
      <c r="A28" s="3" t="s">
        <v>268</v>
      </c>
      <c r="B28" s="25" t="n">
        <f aca="false">B19*12</f>
        <v>6933.33333333333</v>
      </c>
      <c r="C28" s="3"/>
    </row>
    <row r="29" customFormat="false" ht="15" hidden="false" customHeight="true" outlineLevel="0" collapsed="false">
      <c r="A29" s="3" t="s">
        <v>269</v>
      </c>
      <c r="B29" s="25" t="n">
        <f aca="false">-Assumptions!$B$45*12</f>
        <v>-1080</v>
      </c>
      <c r="C29" s="3"/>
    </row>
    <row r="30" customFormat="false" ht="15" hidden="false" customHeight="true" outlineLevel="0" collapsed="false">
      <c r="A30" s="5" t="s">
        <v>270</v>
      </c>
      <c r="B30" s="26" t="n">
        <f aca="false">B28+B29</f>
        <v>5853.33333333333</v>
      </c>
      <c r="C30" s="3"/>
    </row>
    <row r="31" customFormat="false" ht="15" hidden="false" customHeight="true" outlineLevel="0" collapsed="false">
      <c r="A31" s="5" t="s">
        <v>271</v>
      </c>
      <c r="B31" s="34" t="n">
        <f aca="false">IFERROR(B15/B30,0)</f>
        <v>2.73348519362187</v>
      </c>
      <c r="C31" s="3"/>
    </row>
    <row r="32" customFormat="false" ht="15" hidden="false" customHeight="true" outlineLevel="0" collapsed="false">
      <c r="A32" s="3" t="s">
        <v>146</v>
      </c>
      <c r="B32" s="31" t="n">
        <f aca="false">Assumptions!$B$49</f>
        <v>60</v>
      </c>
      <c r="C32" s="4" t="s">
        <v>272</v>
      </c>
    </row>
    <row r="33" customFormat="false" ht="15" hidden="false" customHeight="true" outlineLevel="0" collapsed="false">
      <c r="A33" s="3"/>
      <c r="B33" s="3"/>
      <c r="C33" s="3"/>
    </row>
    <row r="34" customFormat="false" ht="15" hidden="false" customHeight="true" outlineLevel="0" collapsed="false">
      <c r="A34" s="35" t="s">
        <v>273</v>
      </c>
      <c r="B34" s="3"/>
      <c r="C34" s="3"/>
    </row>
    <row r="35" customFormat="false" ht="15" hidden="false" customHeight="true" outlineLevel="0" collapsed="false">
      <c r="A35" s="4" t="s">
        <v>274</v>
      </c>
      <c r="B35" s="3"/>
      <c r="C35" s="3"/>
    </row>
    <row r="36" customFormat="false" ht="15" hidden="false" customHeight="true" outlineLevel="0" collapsed="false">
      <c r="A36" s="4" t="s">
        <v>275</v>
      </c>
      <c r="B36" s="3"/>
      <c r="C36" s="3"/>
    </row>
    <row r="37" customFormat="false" ht="15" hidden="false" customHeight="true" outlineLevel="0" collapsed="false">
      <c r="A37" s="4" t="s">
        <v>276</v>
      </c>
      <c r="B37" s="3"/>
      <c r="C37" s="3"/>
    </row>
    <row r="38" customFormat="false" ht="15" hidden="false" customHeight="true" outlineLevel="0" collapsed="false">
      <c r="A38" s="4" t="s">
        <v>277</v>
      </c>
      <c r="B38" s="3"/>
      <c r="C38" s="3"/>
    </row>
    <row r="39" customFormat="false" ht="15" hidden="false" customHeight="true" outlineLevel="0" collapsed="false">
      <c r="A39" s="4" t="s">
        <v>278</v>
      </c>
      <c r="B39" s="3"/>
      <c r="C39" s="3"/>
    </row>
    <row r="40" customFormat="false" ht="15" hidden="false" customHeight="true" outlineLevel="0" collapsed="false">
      <c r="A40" s="36" t="s">
        <v>279</v>
      </c>
      <c r="B40" s="3"/>
      <c r="C4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8"/>
    <col collapsed="false" customWidth="true" hidden="false" outlineLevel="0" max="3" min="3" style="1" width="66"/>
  </cols>
  <sheetData>
    <row r="1" customFormat="false" ht="17.25" hidden="false" customHeight="true" outlineLevel="0" collapsed="false">
      <c r="A1" s="2" t="s">
        <v>280</v>
      </c>
      <c r="B1" s="3"/>
      <c r="C1" s="3"/>
    </row>
    <row r="2" customFormat="false" ht="15" hidden="false" customHeight="true" outlineLevel="0" collapsed="false">
      <c r="A2" s="4" t="s">
        <v>281</v>
      </c>
      <c r="B2" s="3"/>
      <c r="C2" s="3"/>
    </row>
    <row r="3" customFormat="false" ht="15" hidden="false" customHeight="true" outlineLevel="0" collapsed="false">
      <c r="A3" s="3"/>
      <c r="B3" s="3"/>
      <c r="C3" s="3"/>
    </row>
    <row r="4" customFormat="false" ht="15" hidden="false" customHeight="true" outlineLevel="0" collapsed="false">
      <c r="A4" s="7" t="s">
        <v>205</v>
      </c>
      <c r="B4" s="7" t="s">
        <v>49</v>
      </c>
      <c r="C4" s="7" t="s">
        <v>173</v>
      </c>
    </row>
    <row r="5" customFormat="false" ht="15" hidden="false" customHeight="true" outlineLevel="0" collapsed="false">
      <c r="A5" s="5" t="s">
        <v>282</v>
      </c>
      <c r="B5" s="5"/>
      <c r="C5" s="3"/>
    </row>
    <row r="6" customFormat="false" ht="15" hidden="false" customHeight="true" outlineLevel="0" collapsed="false">
      <c r="A6" s="3" t="s">
        <v>283</v>
      </c>
      <c r="B6" s="37" t="n">
        <f aca="false">Assumptions!$B$52</f>
        <v>3</v>
      </c>
      <c r="C6" s="3"/>
    </row>
    <row r="7" customFormat="false" ht="15" hidden="false" customHeight="true" outlineLevel="0" collapsed="false">
      <c r="A7" s="3" t="s">
        <v>284</v>
      </c>
      <c r="B7" s="25" t="n">
        <f aca="false">Assumptions!$B$53</f>
        <v>85</v>
      </c>
      <c r="C7" s="3"/>
    </row>
    <row r="8" customFormat="false" ht="15" hidden="false" customHeight="true" outlineLevel="0" collapsed="false">
      <c r="A8" s="3" t="s">
        <v>285</v>
      </c>
      <c r="B8" s="25" t="n">
        <f aca="false">Assumptions!$B$54</f>
        <v>130</v>
      </c>
      <c r="C8" s="3"/>
    </row>
    <row r="9" customFormat="false" ht="15" hidden="false" customHeight="true" outlineLevel="0" collapsed="false">
      <c r="A9" s="5" t="s">
        <v>286</v>
      </c>
      <c r="B9" s="26" t="n">
        <f aca="false">B6*(B7+B8)</f>
        <v>645</v>
      </c>
      <c r="C9" s="3"/>
    </row>
    <row r="10" customFormat="false" ht="15" hidden="false" customHeight="true" outlineLevel="0" collapsed="false">
      <c r="A10" s="3" t="s">
        <v>287</v>
      </c>
      <c r="B10" s="25" t="n">
        <f aca="false">B6*B7*Assumptions!$B$56</f>
        <v>165.75</v>
      </c>
      <c r="C10" s="3"/>
    </row>
    <row r="11" customFormat="false" ht="15" hidden="false" customHeight="true" outlineLevel="0" collapsed="false">
      <c r="A11" s="3" t="s">
        <v>288</v>
      </c>
      <c r="B11" s="25" t="n">
        <f aca="false">B6*B8*Assumptions!$B$55</f>
        <v>124.8</v>
      </c>
      <c r="C11" s="3"/>
    </row>
    <row r="12" customFormat="false" ht="15" hidden="false" customHeight="true" outlineLevel="0" collapsed="false">
      <c r="A12" s="5" t="s">
        <v>289</v>
      </c>
      <c r="B12" s="26" t="n">
        <f aca="false">B10+B11</f>
        <v>290.55</v>
      </c>
      <c r="C12" s="4" t="s">
        <v>290</v>
      </c>
    </row>
    <row r="13" customFormat="false" ht="15" hidden="false" customHeight="true" outlineLevel="0" collapsed="false">
      <c r="A13" s="3"/>
      <c r="B13" s="3"/>
      <c r="C13" s="3"/>
    </row>
    <row r="14" customFormat="false" ht="15" hidden="false" customHeight="true" outlineLevel="0" collapsed="false">
      <c r="A14" s="5" t="s">
        <v>291</v>
      </c>
      <c r="B14" s="5"/>
      <c r="C14" s="3"/>
    </row>
    <row r="15" customFormat="false" ht="15" hidden="false" customHeight="true" outlineLevel="0" collapsed="false">
      <c r="A15" s="3" t="s">
        <v>161</v>
      </c>
      <c r="B15" s="31" t="n">
        <f aca="false">Assumptions!$B$57</f>
        <v>120</v>
      </c>
      <c r="C15" s="4" t="s">
        <v>292</v>
      </c>
    </row>
    <row r="16" customFormat="false" ht="15" hidden="false" customHeight="true" outlineLevel="0" collapsed="false">
      <c r="A16" s="5" t="s">
        <v>293</v>
      </c>
      <c r="B16" s="26" t="n">
        <f aca="false">B15*B9</f>
        <v>77400</v>
      </c>
      <c r="C16" s="3"/>
    </row>
    <row r="17" customFormat="false" ht="15" hidden="false" customHeight="true" outlineLevel="0" collapsed="false">
      <c r="A17" s="5" t="s">
        <v>294</v>
      </c>
      <c r="B17" s="26" t="n">
        <f aca="false">B15*B12</f>
        <v>34866</v>
      </c>
      <c r="C17" s="3"/>
    </row>
    <row r="18" customFormat="false" ht="15" hidden="false" customHeight="true" outlineLevel="0" collapsed="false">
      <c r="A18" s="5" t="s">
        <v>295</v>
      </c>
      <c r="B18" s="34" t="n">
        <f aca="false">IFERROR(B17/'Landed Cost'!B30,0)</f>
        <v>5.41522028374916</v>
      </c>
      <c r="C18" s="4" t="s">
        <v>296</v>
      </c>
    </row>
    <row r="19" customFormat="false" ht="15" hidden="false" customHeight="true" outlineLevel="0" collapsed="false">
      <c r="A19" s="3"/>
      <c r="B19" s="3"/>
      <c r="C19" s="3"/>
    </row>
    <row r="20" customFormat="false" ht="15" hidden="false" customHeight="true" outlineLevel="0" collapsed="false">
      <c r="A20" s="35" t="s">
        <v>297</v>
      </c>
      <c r="B20" s="3"/>
      <c r="C20" s="3"/>
    </row>
    <row r="21" customFormat="false" ht="15" hidden="false" customHeight="true" outlineLevel="0" collapsed="false">
      <c r="A21" s="4" t="s">
        <v>298</v>
      </c>
      <c r="B21" s="3"/>
      <c r="C21" s="3"/>
    </row>
    <row r="22" customFormat="false" ht="15" hidden="false" customHeight="true" outlineLevel="0" collapsed="false">
      <c r="A22" s="4" t="s">
        <v>299</v>
      </c>
      <c r="B22" s="3"/>
      <c r="C22" s="3"/>
    </row>
    <row r="23" customFormat="false" ht="15" hidden="false" customHeight="true" outlineLevel="0" collapsed="false">
      <c r="A23" s="4" t="s">
        <v>300</v>
      </c>
      <c r="B23" s="3"/>
      <c r="C23" s="3"/>
    </row>
    <row r="24" customFormat="false" ht="15" hidden="false" customHeight="true" outlineLevel="0" collapsed="false">
      <c r="A24" s="4" t="s">
        <v>301</v>
      </c>
      <c r="B24" s="3"/>
      <c r="C2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4" min="2" style="1" width="18"/>
    <col collapsed="false" customWidth="true" hidden="false" outlineLevel="0" max="5" min="5" style="1" width="56"/>
  </cols>
  <sheetData>
    <row r="1" customFormat="false" ht="17.25" hidden="false" customHeight="true" outlineLevel="0" collapsed="false">
      <c r="A1" s="2" t="s">
        <v>302</v>
      </c>
      <c r="B1" s="3"/>
      <c r="C1" s="3"/>
      <c r="D1" s="3"/>
      <c r="E1" s="3"/>
    </row>
    <row r="2" customFormat="false" ht="15" hidden="false" customHeight="true" outlineLevel="0" collapsed="false">
      <c r="A2" s="4" t="s">
        <v>303</v>
      </c>
      <c r="B2" s="3"/>
      <c r="C2" s="3"/>
      <c r="D2" s="3"/>
      <c r="E2" s="3"/>
    </row>
    <row r="3" customFormat="false" ht="15" hidden="false" customHeight="true" outlineLevel="0" collapsed="false">
      <c r="A3" s="3"/>
      <c r="B3" s="3"/>
      <c r="C3" s="3"/>
      <c r="D3" s="3"/>
      <c r="E3" s="3"/>
    </row>
    <row r="4" customFormat="false" ht="15" hidden="false" customHeight="true" outlineLevel="0" collapsed="false">
      <c r="A4" s="7" t="s">
        <v>304</v>
      </c>
      <c r="B4" s="7" t="s">
        <v>305</v>
      </c>
      <c r="C4" s="7" t="s">
        <v>306</v>
      </c>
      <c r="D4" s="7" t="s">
        <v>307</v>
      </c>
      <c r="E4" s="7" t="s">
        <v>308</v>
      </c>
    </row>
    <row r="5" customFormat="false" ht="15" hidden="false" customHeight="true" outlineLevel="0" collapsed="false">
      <c r="A5" s="3" t="s">
        <v>184</v>
      </c>
      <c r="B5" s="38" t="n">
        <v>0.6</v>
      </c>
      <c r="C5" s="39" t="n">
        <f aca="false">'Landed Cost'!B15</f>
        <v>0.437</v>
      </c>
      <c r="D5" s="38" t="n">
        <v>0.38</v>
      </c>
      <c r="E5" s="4" t="s">
        <v>309</v>
      </c>
    </row>
    <row r="6" customFormat="false" ht="15" hidden="false" customHeight="true" outlineLevel="0" collapsed="false">
      <c r="A6" s="3" t="s">
        <v>310</v>
      </c>
      <c r="B6" s="38" t="n">
        <v>0.14</v>
      </c>
      <c r="C6" s="39" t="n">
        <f aca="false">Assumptions!$B$12</f>
        <v>0.09</v>
      </c>
      <c r="D6" s="38" t="n">
        <v>0.06</v>
      </c>
      <c r="E6" s="4" t="s">
        <v>311</v>
      </c>
    </row>
    <row r="7" customFormat="false" ht="15" hidden="false" customHeight="true" outlineLevel="0" collapsed="false">
      <c r="A7" s="3" t="s">
        <v>312</v>
      </c>
      <c r="B7" s="38" t="n">
        <v>0.1</v>
      </c>
      <c r="C7" s="39" t="n">
        <f aca="false">Assumptions!$B$22</f>
        <v>0.18</v>
      </c>
      <c r="D7" s="38" t="n">
        <v>0.24</v>
      </c>
      <c r="E7" s="4" t="s">
        <v>313</v>
      </c>
    </row>
    <row r="8" customFormat="false" ht="15" hidden="false" customHeight="true" outlineLevel="0" collapsed="false">
      <c r="A8" s="3" t="s">
        <v>314</v>
      </c>
      <c r="B8" s="38" t="n">
        <v>0.4</v>
      </c>
      <c r="C8" s="39" t="n">
        <f aca="false">Assumptions!$B$27</f>
        <v>0.7</v>
      </c>
      <c r="D8" s="38" t="n">
        <v>0.9</v>
      </c>
      <c r="E8" s="4" t="s">
        <v>315</v>
      </c>
    </row>
    <row r="9" customFormat="false" ht="15" hidden="false" customHeight="true" outlineLevel="0" collapsed="false">
      <c r="A9" s="3" t="s">
        <v>316</v>
      </c>
      <c r="B9" s="40" t="n">
        <v>210</v>
      </c>
      <c r="C9" s="41" t="n">
        <f aca="false">Assumptions!$B$30</f>
        <v>120</v>
      </c>
      <c r="D9" s="40" t="n">
        <v>75</v>
      </c>
      <c r="E9" s="4" t="s">
        <v>317</v>
      </c>
    </row>
    <row r="10" customFormat="false" ht="15" hidden="false" customHeight="true" outlineLevel="0" collapsed="false">
      <c r="A10" s="3" t="s">
        <v>151</v>
      </c>
      <c r="B10" s="42" t="n">
        <v>1.5</v>
      </c>
      <c r="C10" s="43" t="n">
        <f aca="false">Assumptions!$B$52</f>
        <v>3</v>
      </c>
      <c r="D10" s="42" t="n">
        <v>4.5</v>
      </c>
      <c r="E10" s="4" t="s">
        <v>318</v>
      </c>
    </row>
    <row r="11" customFormat="false" ht="15" hidden="false" customHeight="true" outlineLevel="0" collapsed="false">
      <c r="A11" s="3" t="s">
        <v>319</v>
      </c>
      <c r="B11" s="44" t="n">
        <v>18</v>
      </c>
      <c r="C11" s="45" t="n">
        <f aca="false">Assumptions!$B$42</f>
        <v>28</v>
      </c>
      <c r="D11" s="44" t="n">
        <v>40</v>
      </c>
      <c r="E11" s="4" t="s">
        <v>320</v>
      </c>
    </row>
    <row r="12" customFormat="false" ht="15" hidden="false" customHeight="true" outlineLevel="0" collapsed="false">
      <c r="A12" s="3"/>
      <c r="B12" s="3"/>
      <c r="C12" s="3"/>
      <c r="D12" s="3"/>
      <c r="E12" s="3"/>
    </row>
    <row r="13" customFormat="false" ht="15" hidden="false" customHeight="true" outlineLevel="0" collapsed="false">
      <c r="A13" s="3"/>
      <c r="B13" s="3"/>
      <c r="C13" s="3"/>
      <c r="D13" s="3"/>
      <c r="E13" s="3"/>
    </row>
    <row r="14" customFormat="false" ht="15" hidden="false" customHeight="true" outlineLevel="0" collapsed="false">
      <c r="A14" s="35" t="s">
        <v>321</v>
      </c>
      <c r="B14" s="3"/>
      <c r="C14" s="3"/>
      <c r="D14" s="3"/>
      <c r="E14" s="3"/>
    </row>
    <row r="15" customFormat="false" ht="15" hidden="false" customHeight="true" outlineLevel="0" collapsed="false">
      <c r="A15" s="3" t="s">
        <v>322</v>
      </c>
      <c r="B15" s="26" t="n">
        <f aca="false">'Landed Cost'!B7*(1+B5)+'Landed Cost'!B24</f>
        <v>38143</v>
      </c>
      <c r="C15" s="3"/>
      <c r="D15" s="3"/>
      <c r="E15" s="3"/>
    </row>
    <row r="16" customFormat="false" ht="15" hidden="false" customHeight="true" outlineLevel="0" collapsed="false">
      <c r="A16" s="3" t="s">
        <v>323</v>
      </c>
      <c r="B16" s="26" t="n">
        <f aca="false">B15*(1+B7)</f>
        <v>41957.3</v>
      </c>
      <c r="C16" s="3"/>
      <c r="D16" s="3"/>
      <c r="E16" s="3"/>
    </row>
    <row r="17" customFormat="false" ht="15" hidden="false" customHeight="true" outlineLevel="0" collapsed="false">
      <c r="A17" s="3" t="s">
        <v>324</v>
      </c>
      <c r="B17" s="46" t="n">
        <f aca="false">'Landed Cost'!B31</f>
        <v>42208.0705905753</v>
      </c>
      <c r="C17" s="3"/>
      <c r="D17" s="3"/>
      <c r="E17" s="3"/>
    </row>
    <row r="18" customFormat="false" ht="15" hidden="false" customHeight="true" outlineLevel="0" collapsed="false">
      <c r="A18" s="5" t="s">
        <v>325</v>
      </c>
      <c r="B18" s="28" t="n">
        <f aca="false">IFERROR(B16/B17-1,0)</f>
        <v>-0.00594129480610117</v>
      </c>
      <c r="C18" s="3"/>
      <c r="D18" s="3"/>
      <c r="E18" s="4" t="s">
        <v>326</v>
      </c>
    </row>
    <row r="19" customFormat="false" ht="15" hidden="false" customHeight="true" outlineLevel="0" collapsed="false">
      <c r="A19" s="5" t="s">
        <v>327</v>
      </c>
      <c r="B19" s="47" t="n">
        <f aca="false">B16-B15</f>
        <v>3814.3</v>
      </c>
      <c r="C19" s="3"/>
      <c r="D19" s="3"/>
      <c r="E19" s="4" t="s">
        <v>328</v>
      </c>
    </row>
    <row r="20" customFormat="false" ht="15" hidden="false" customHeight="true" outlineLevel="0" collapsed="false">
      <c r="A20" s="5" t="s">
        <v>329</v>
      </c>
      <c r="B20" s="48" t="n">
        <f aca="false">'Landed Cost'!B30</f>
        <v>6438.51924263014</v>
      </c>
      <c r="C20" s="3"/>
      <c r="D20" s="3"/>
      <c r="E20" s="3"/>
    </row>
    <row r="21" customFormat="false" ht="15" hidden="false" customHeight="true" outlineLevel="0" collapsed="false">
      <c r="A21" s="5" t="s">
        <v>330</v>
      </c>
      <c r="B21" s="28" t="n">
        <f aca="false">IFERROR(B19/B20-1,0)</f>
        <v>-0.407581175692525</v>
      </c>
      <c r="C21" s="3"/>
      <c r="D21" s="3"/>
      <c r="E21" s="3"/>
    </row>
    <row r="22" customFormat="false" ht="15" hidden="false" customHeight="true" outlineLevel="0" collapsed="false">
      <c r="A22" s="4" t="s">
        <v>331</v>
      </c>
      <c r="B22" s="3"/>
      <c r="C22" s="3"/>
      <c r="D22" s="3"/>
      <c r="E22" s="3"/>
    </row>
    <row r="23" customFormat="false" ht="15" hidden="false" customHeight="true" outlineLevel="0" collapsed="false">
      <c r="A23" s="6" t="s">
        <v>332</v>
      </c>
      <c r="B23" s="3"/>
      <c r="C23" s="3"/>
      <c r="D23" s="3"/>
      <c r="E23" s="3"/>
    </row>
    <row r="24" customFormat="false" ht="15" hidden="false" customHeight="false" outlineLevel="0" collapsed="false">
      <c r="A24" s="49" t="s">
        <v>333</v>
      </c>
    </row>
    <row r="25" customFormat="false" ht="15" hidden="false" customHeight="false" outlineLevel="0" collapsed="false">
      <c r="A25" s="49" t="s">
        <v>331</v>
      </c>
    </row>
    <row r="26" customFormat="false" ht="15" hidden="false" customHeight="false" outlineLevel="0" collapsed="false">
      <c r="A26" s="4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2026-09-06T02:44:25Z</dcterms:created>
  <dc:creator>openpyxl</dc:creator>
  <dc:description/>
  <dc:language>en-US</dc:language>
  <cp:lastModifiedBy/>
  <dcterms:modified xsi:type="dcterms:W3CDTF">2026-09-06T02:44:59Z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